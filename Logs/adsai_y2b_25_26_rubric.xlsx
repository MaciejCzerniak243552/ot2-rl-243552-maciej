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alican/Documents/ML projects/BUas/Content creation/2025-2026/Y2B/rubric and logs to share/"/>
    </mc:Choice>
  </mc:AlternateContent>
  <xr:revisionPtr revIDLastSave="0" documentId="13_ncr:1_{2BC40557-2321-2244-9364-2D7C69852C50}" xr6:coauthVersionLast="47" xr6:coauthVersionMax="47" xr10:uidLastSave="{00000000-0000-0000-0000-000000000000}"/>
  <bookViews>
    <workbookView xWindow="100" yWindow="760" windowWidth="25520" windowHeight="15060" xr2:uid="{526F01F3-B9A4-4AB8-BF2F-8E2F4443F7C9}"/>
  </bookViews>
  <sheets>
    <sheet name="2B" sheetId="1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9" i="16" l="1"/>
  <c r="K37" i="16"/>
  <c r="E39" i="16" s="1"/>
  <c r="M40" i="16"/>
  <c r="K33" i="16"/>
  <c r="E35" i="16" s="1"/>
  <c r="K24" i="16"/>
  <c r="K20" i="16"/>
  <c r="K16" i="16"/>
  <c r="J5" i="16" l="1"/>
  <c r="E26" i="16"/>
  <c r="K40" i="16"/>
  <c r="K5" i="16" l="1"/>
  <c r="L5" i="16" s="1"/>
</calcChain>
</file>

<file path=xl/sharedStrings.xml><?xml version="1.0" encoding="utf-8"?>
<sst xmlns="http://schemas.openxmlformats.org/spreadsheetml/2006/main" count="235" uniqueCount="126">
  <si>
    <t>Student Self-Assessment</t>
  </si>
  <si>
    <t>Details</t>
  </si>
  <si>
    <t>General feedback</t>
  </si>
  <si>
    <t> </t>
  </si>
  <si>
    <t>Must-pass ILO</t>
  </si>
  <si>
    <t>Final grade</t>
  </si>
  <si>
    <t>Block pass/fail</t>
  </si>
  <si>
    <t>Student Number</t>
  </si>
  <si>
    <t>fill in</t>
  </si>
  <si>
    <t>Student Name</t>
  </si>
  <si>
    <t>Project</t>
  </si>
  <si>
    <t>Opportunity</t>
  </si>
  <si>
    <t>Project Deadline</t>
  </si>
  <si>
    <t>Grading Rubric</t>
  </si>
  <si>
    <t>PRE-REQUISITES</t>
  </si>
  <si>
    <t>ILO COMPONENTS</t>
  </si>
  <si>
    <t>Score</t>
  </si>
  <si>
    <t>Total</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</si>
  <si>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</si>
  <si>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</si>
  <si>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pre-requisites</t>
  </si>
  <si>
    <t>A: 2 points</t>
  </si>
  <si>
    <t>B: 2 points</t>
  </si>
  <si>
    <t>C: 2 points</t>
  </si>
  <si>
    <t>D: 2 points</t>
  </si>
  <si>
    <t>E: 2 points</t>
  </si>
  <si>
    <t>Dublin descriptor: 1, 2, 3</t>
  </si>
  <si>
    <t xml:space="preserve">1.6 Presentation. The student demonstrates the ability to convert project findings into a coherent and structured presentation. The student is able to communicate the project findings in a professional manner tailored to the audience. </t>
  </si>
  <si>
    <t>The student submits a complete learning log, work log, and self-assessment rubric. The student exhibits professional behaviour during DataLab sessions.</t>
  </si>
  <si>
    <t xml:space="preserve">The student creates well-designed slides where all content is easy to read, and visual elements such as tables, figures, and images are clear and appropriately sized. The student avoids excessive text, ensuring slides are concise and focused. Proper citations are included when needed on individual slides, and each slide has a clear title and is numbered for reference. </t>
  </si>
  <si>
    <t>The student demonstrates thorough preparation, starts on time, adheres to the time limit, and delivers a well-paced and complete presentation.</t>
  </si>
  <si>
    <t>The student responds to questions clearly and accurately, demonstrating a solid understanding of the topic and providing thoughtful, well-reasoned answers.</t>
  </si>
  <si>
    <t>The student delivers the presentation confidently, maintaining eye contact, using clear language, and engaging the audience throughout.</t>
  </si>
  <si>
    <t>The student organizes the presentation logically, ensuring that the problem, approach, results and interpretation thereof are easy to follow and well-explained.</t>
  </si>
  <si>
    <t>/</t>
  </si>
  <si>
    <t xml:space="preserve">select points: </t>
  </si>
  <si>
    <t>yes</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</si>
  <si>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</si>
  <si>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</si>
  <si>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A: 10 points</t>
  </si>
  <si>
    <t xml:space="preserve">2.6 Critical Thinking. The student is able to apply critical thinking skills during the block on the project and the learning experience. </t>
  </si>
  <si>
    <t>The student demonstrates the ability to critically evaluate their approach to solving computer vision tasks by reflecting on daily progress through work log entries and weekly progress through the learning log. This includes error analysis, identifying challenges, identifying edge cases, justifying decisions, listing assumptions and planning next steps to iteratively improve the project. The student consistently applies these reflections to optimize workflow and enhance problem-solving strategies, with the iterative improvement clearly identifiable in the worklog and learning log section B. The student can communicate three crucial iterations to the stakeholders.</t>
  </si>
  <si>
    <t>ILO 5</t>
  </si>
  <si>
    <t>Domain Knowledge. The student has such knowledge of and insight into one or more domains that they can function as a discussion partner for experts. They are able to quickly immerse themselves in new domains and associated professional networks. </t>
  </si>
  <si>
    <t>5.1 Domain Knowledge. The student demonstrates a solid understanding of the project domain by accurately describing the client and outlining the problem using appropriate domain-specific terminology.</t>
  </si>
  <si>
    <t>The student exhibits professional behaviour during DataLab sessions.</t>
  </si>
  <si>
    <t>The student demonstrates a clear understanding of the project domain by accurately describing the client, outlining the problem, and correctly using domain-specific terminology during the presentation and answering questions. This includes articulating the significance of the problem and its broader context, ensuring effective communication of key concepts and objectives.</t>
  </si>
  <si>
    <t>Must pass (&gt; 55%)</t>
  </si>
  <si>
    <t>ILO 6</t>
  </si>
  <si>
    <t>Data Collection and Processing. The student masters (technological) skills to acquire, pre-process, process and manage the necessary data to create value for individuals, organizations and domains. </t>
  </si>
  <si>
    <t>A: 5 points</t>
  </si>
  <si>
    <t>B: 3 points</t>
  </si>
  <si>
    <t>6.4 Image Data. The student demonstrates the ability to collect, label, and process image data.</t>
  </si>
  <si>
    <t>The student accurately annotates images for object detection or image segmentation and provides constructive feedback on the quality of peer annotations, in line with client requirements.</t>
  </si>
  <si>
    <t>The student demonstrates the ability to load, display, and save images, convert between color spaces, and perform basic image manipulations such as resizing, cropping, or rotating. The student demonstrates the ability to perform intermediate image manipulations such as annotating with shapes, overlaying text, and applying masks to isolate regions, in line with client requirements, using industry standard tools.</t>
  </si>
  <si>
    <t>The student demonstrates the ability to filter images for noise reduction and image enhancement; apply thresholding, edge, and contour detection. The student demonstrates the ability to execute morphological operations on images; combine various traditional computer vision methods effectively to build image segmentation and object detection pipelines without machine learning, in line with client requirements, using industry standard tools.</t>
  </si>
  <si>
    <t>ILO 8</t>
  </si>
  <si>
    <t>Modelling. The student can apply modelling techniques including Machine Learning and AI to create value for individuals, organizations and domains. </t>
  </si>
  <si>
    <t>B: 20 points</t>
  </si>
  <si>
    <t>8.5 Computer Vision. The student demonstrates mastery in programming skills to acquire, pre-process, process, and manage digital images, alongside applying modeling techniques, including traditional computer vision and deep learning methods, to create value across various domains. Furthermore, the student is proficient in developing proof-of-concept solutions through an iterative cycle with explicit stakeholder involvement and can implement applications within existing architectures.</t>
  </si>
  <si>
    <t>The student exhibits professional behaviour during DataLab sessions. Student submitted successfully labeled images as part of the project. Student presented their findings during the final block presentation.</t>
  </si>
  <si>
    <t>The student demonstrates the ability to design and implement deep learning models for object detection or image segmentation using industry-standard deep learning frameworks, ensuring compatibility between neural network architecture and components in line with client requirements.</t>
  </si>
  <si>
    <t>The student demonstrates the ability to design and implement end-to-end computer vision pipelines that merge data processing, traditional computer vision, and deep learning; iterate this pipeline towards an optimal solution using techniques such as transfer learning, hyperparameter tuning, data collections. The student demonstrates the ability to extract, process, and analyze quantitative information from images using appropriate algorithms and methods that are in or outside of the computer vision domain. Meanwhile, the student tracks these iterations with industry-standard experiment tracking tools. The student demonstrates the ability to deliver an optimal computer vision solution, in line with client requirements.</t>
  </si>
  <si>
    <t>A: 6 points</t>
  </si>
  <si>
    <t>B: 7 points</t>
  </si>
  <si>
    <t>C: 8 points</t>
  </si>
  <si>
    <t>D: 9 points</t>
  </si>
  <si>
    <t>8.6 Robotic Control and Reinforcement Learning. The student is able to design, implement, and evaluate control algorithms and reinforcement learning algorithms, integrating computer vision techniques for perception, to effectively address business objectives.</t>
  </si>
  <si>
    <t>The student exhibits professional behaviour during DataLab sessions. Student presented their findings during the final block presentation.</t>
  </si>
  <si>
    <t>The student is able to interact with a simulation environment to understand and manipulate observations and actions relevant to a robotics system, including deriving and interpreting key parameters such as position, velocity, and distance to the target, extracting actionable insights to inform controller design. Furthermore, the student is able to document observations and key findings during their interaction with the simulation environment.</t>
  </si>
  <si>
    <t>The student is able to design and implement traditional controllers for a robotics system, quantify their performance, and optimize parameters to improve system behavior. Moreover, the student is able to create visualizations of the controller's response to different inputs, providing a clear representation of system behavior and aiding in performance evaluation. Additionally, the student is able to document the setup comprehensively, including required libraries, implementation steps, and tuning strategies, to ensure reproducibility.</t>
  </si>
  <si>
    <t>The student is able to design and implement reinforcement learning-based controllers for a robotics system, quantify their performance, and optimize parameters to improve system behavior. Moreover, the student is able to create visualizations of the controller's response to different inputs, providing a clear representation of system behavior and aiding in performance evaluation. Furthermore, the student is able to evaluate and compare the RL controller’s performance with traditional methods across a set of defined metrics. Additionally, the student is able to document the setup comprehensively, including required libraries, implementation steps, and tuning strategies, to ensure reproducibility.</t>
  </si>
  <si>
    <t>The student is able to integrate controllers with a computer vision pipeline, enabling the robotic system to adapt its actions based on visual input. Moreover, the student is encouraged to design modular systems that allow the seamless swapping of computer vision or control components without significant rework, thereby enhancing flexibility and maintainability. Additionally, the student is able to evaluate the overall system performance, ensuring that the system meets the desired specifications, and provide recommendations for system improvements.</t>
  </si>
  <si>
    <t>PROJECT TOTAL</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</si>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</sst>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0"/>
      <name val="Calibri"/>
      <family val="2"/>
    </font>
    <font>
      <sz val="18"/>
      <color theme="1"/>
      <name val="Calibri"/>
      <family val="2"/>
    </font>
    <font>
      <sz val="10"/>
      <color theme="0"/>
      <name val="Calibri"/>
      <family val="2"/>
    </font>
    <font>
      <b/>
      <sz val="10"/>
      <color theme="0"/>
      <name val="Calibri"/>
      <family val="2"/>
    </font>
    <font>
      <b/>
      <sz val="10"/>
      <color rgb="FFFFFFFF"/>
      <name val="Calibri"/>
      <family val="2"/>
    </font>
    <font>
      <b/>
      <sz val="14"/>
      <name val="Calibri"/>
      <family val="2"/>
    </font>
    <font>
      <i/>
      <sz val="10"/>
      <color rgb="FF000000"/>
      <name val="Calibri"/>
      <family val="2"/>
    </font>
    <font>
      <sz val="10"/>
      <color theme="1"/>
      <name val="Calibri"/>
      <family val="2"/>
    </font>
    <font>
      <b/>
      <sz val="10"/>
      <color theme="1"/>
      <name val="Calibri"/>
      <family val="2"/>
    </font>
    <font>
      <b/>
      <sz val="11"/>
      <color rgb="FF000000"/>
      <name val="Aptos"/>
      <family val="2"/>
    </font>
    <font>
      <sz val="14"/>
      <color rgb="FF000000"/>
      <name val="Calibri"/>
      <family val="2"/>
    </font>
    <font>
      <b/>
      <sz val="11"/>
      <color rgb="FF000000"/>
      <name val="Calibri"/>
      <family val="2"/>
    </font>
    <font>
      <sz val="11"/>
      <color theme="1"/>
      <name val="Calibri"/>
      <family val="2"/>
    </font>
    <font>
      <b/>
      <sz val="11"/>
      <color theme="1"/>
      <name val="Calibri"/>
      <family val="2"/>
    </font>
    <font>
      <sz val="10"/>
      <color rgb="FF000000"/>
      <name val="Calibri"/>
      <family val="2"/>
    </font>
    <font>
      <sz val="11"/>
      <name val="Calibri"/>
      <family val="2"/>
    </font>
    <font>
      <sz val="18"/>
      <color rgb="FF000000"/>
      <name val="Calibri"/>
      <family val="2"/>
    </font>
    <font>
      <sz val="9"/>
      <color rgb="FF000000"/>
      <name val="Calibri"/>
      <family val="2"/>
    </font>
    <font>
      <b/>
      <sz val="10"/>
      <name val="Calibri"/>
      <family val="2"/>
    </font>
    <font>
      <sz val="14"/>
      <color theme="1"/>
      <name val="Aptos Narrow"/>
      <family val="2"/>
      <scheme val="minor"/>
    </font>
    <font>
      <b/>
      <sz val="14"/>
      <color theme="1"/>
      <name val="Aptos Narrow"/>
      <family val="2"/>
      <scheme val="minor"/>
    </font>
    <font>
      <sz val="10"/>
      <color rgb="FF000000"/>
      <name val="Calibri"/>
      <family val="2"/>
    </font>
    <font>
      <b/>
      <sz val="11"/>
      <color rgb="FF000000"/>
      <name val="Calibri"/>
      <family val="2"/>
    </font>
    <font>
      <b/>
      <sz val="11"/>
      <color theme="1"/>
      <name val="Calibri"/>
      <family val="2"/>
    </font>
    <font>
      <sz val="10"/>
      <name val="Calibri"/>
      <family val="2"/>
    </font>
    <font>
      <sz val="14"/>
      <color rgb="FF000000"/>
      <name val="Calibri"/>
      <family val="2"/>
    </font>
    <font>
      <sz val="11"/>
      <color theme="1"/>
      <name val="Calibri"/>
      <family val="2"/>
    </font>
    <font>
      <sz val="10"/>
      <color theme="1"/>
      <name val="Calibri"/>
      <family val="2"/>
    </font>
    <font>
      <b/>
      <sz val="11"/>
      <color rgb="FF9C0006"/>
      <name val="Calibri"/>
      <family val="2"/>
    </font>
    <font>
      <b/>
      <sz val="24"/>
      <color rgb="FF000000"/>
      <name val="Calibri"/>
      <family val="2"/>
    </font>
    <font>
      <sz val="14"/>
      <color rgb="FFFFFFFF"/>
      <name val="Calibri"/>
      <family val="2"/>
    </font>
  </fonts>
  <fills count="34">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theme="1"/>
        <bgColor rgb="FF000000"/>
      </patternFill>
    </fill>
    <fill>
      <patternFill patternType="solid">
        <fgColor theme="1"/>
        <bgColor rgb="FFFFFF00"/>
      </patternFill>
    </fill>
    <fill>
      <patternFill patternType="solid">
        <fgColor rgb="FF000000"/>
        <bgColor rgb="FF000000"/>
      </patternFill>
    </fill>
    <fill>
      <patternFill patternType="solid">
        <fgColor rgb="FFFFFF00"/>
        <bgColor indexed="64"/>
      </patternFill>
    </fill>
    <fill>
      <patternFill patternType="solid">
        <fgColor theme="1"/>
        <bgColor indexed="64"/>
      </patternFill>
    </fill>
    <fill>
      <patternFill patternType="solid">
        <fgColor theme="2" tint="-9.9978637043366805E-2"/>
        <bgColor indexed="64"/>
      </patternFill>
    </fill>
    <fill>
      <patternFill patternType="solid">
        <fgColor rgb="FFBDBDBD"/>
        <bgColor rgb="FFBDBDBD"/>
      </patternFill>
    </fill>
    <fill>
      <patternFill patternType="solid">
        <fgColor theme="5"/>
        <bgColor theme="5"/>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9D9D9"/>
        <bgColor rgb="FFD9D9D9"/>
      </patternFill>
    </fill>
    <fill>
      <patternFill patternType="solid">
        <fgColor rgb="FFE97132"/>
        <bgColor rgb="FF000000"/>
      </patternFill>
    </fill>
    <fill>
      <patternFill patternType="solid">
        <fgColor rgb="FFD0D0D0"/>
        <bgColor rgb="FF000000"/>
      </patternFill>
    </fill>
    <fill>
      <patternFill patternType="solid">
        <fgColor rgb="FFFFE1CC"/>
        <bgColor rgb="FF000000"/>
      </patternFill>
    </fill>
    <fill>
      <patternFill patternType="solid">
        <fgColor rgb="FFFFFFFF"/>
        <bgColor rgb="FF000000"/>
      </patternFill>
    </fill>
    <fill>
      <patternFill patternType="solid">
        <fgColor rgb="FFFEF2CD"/>
        <bgColor rgb="FF000000"/>
      </patternFill>
    </fill>
    <fill>
      <patternFill patternType="solid">
        <fgColor rgb="FFF7C7AC"/>
        <bgColor rgb="FF000000"/>
      </patternFill>
    </fill>
    <fill>
      <patternFill patternType="solid">
        <fgColor rgb="FFFBE2D5"/>
        <bgColor rgb="FF000000"/>
      </patternFill>
    </fill>
    <fill>
      <patternFill patternType="solid">
        <fgColor rgb="FFFFE1CC"/>
        <bgColor rgb="FFFCE5CD"/>
      </patternFill>
    </fill>
    <fill>
      <patternFill patternType="solid">
        <fgColor rgb="FF000000"/>
        <bgColor rgb="FFF7DCE8"/>
      </patternFill>
    </fill>
    <fill>
      <patternFill patternType="solid">
        <fgColor rgb="FFFFC7CE"/>
        <bgColor rgb="FF000000"/>
      </patternFill>
    </fill>
    <fill>
      <patternFill patternType="solid">
        <fgColor rgb="FFFF0000"/>
        <bgColor rgb="FFFF0000"/>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s>
  <cellStyleXfs count="1">
    <xf numFmtId="0" fontId="0" fillId="0" borderId="0"/>
  </cellStyleXfs>
  <cellXfs count="120">
    <xf numFmtId="0" fontId="0" fillId="0" borderId="0" xfId="0"/>
    <xf numFmtId="0" fontId="0" fillId="2" borderId="0" xfId="0" applyFill="1"/>
    <xf numFmtId="0" fontId="1" fillId="3" borderId="0" xfId="0" applyFont="1" applyFill="1"/>
    <xf numFmtId="0" fontId="1" fillId="2" borderId="0" xfId="0" applyFont="1" applyFill="1"/>
    <xf numFmtId="0" fontId="1" fillId="4" borderId="0" xfId="0" applyFont="1" applyFill="1"/>
    <xf numFmtId="0" fontId="2" fillId="4" borderId="0" xfId="0" applyFont="1" applyFill="1"/>
    <xf numFmtId="0" fontId="3" fillId="3" borderId="0" xfId="0" applyFont="1" applyFill="1"/>
    <xf numFmtId="0" fontId="3" fillId="4" borderId="0" xfId="0" applyFont="1" applyFill="1"/>
    <xf numFmtId="0" fontId="4" fillId="5" borderId="0" xfId="0" applyFont="1" applyFill="1" applyAlignment="1">
      <alignment horizontal="right"/>
    </xf>
    <xf numFmtId="49" fontId="4" fillId="6" borderId="0" xfId="0" applyNumberFormat="1" applyFont="1" applyFill="1" applyAlignment="1">
      <alignment horizontal="left"/>
    </xf>
    <xf numFmtId="0" fontId="5" fillId="7" borderId="0" xfId="0" applyFont="1" applyFill="1" applyAlignment="1">
      <alignment vertical="top"/>
    </xf>
    <xf numFmtId="0" fontId="3" fillId="2" borderId="0" xfId="0" applyFont="1" applyFill="1"/>
    <xf numFmtId="0" fontId="6" fillId="4" borderId="0" xfId="0" applyFont="1" applyFill="1" applyAlignment="1">
      <alignment horizontal="center" vertical="center" textRotation="90"/>
    </xf>
    <xf numFmtId="0" fontId="5" fillId="7" borderId="0" xfId="0" applyFont="1" applyFill="1"/>
    <xf numFmtId="0" fontId="7" fillId="8" borderId="0" xfId="0" applyFont="1" applyFill="1"/>
    <xf numFmtId="49" fontId="5" fillId="7" borderId="0" xfId="0" applyNumberFormat="1" applyFont="1" applyFill="1" applyAlignment="1">
      <alignment vertical="top"/>
    </xf>
    <xf numFmtId="49" fontId="5" fillId="7" borderId="0" xfId="0" applyNumberFormat="1" applyFont="1" applyFill="1" applyAlignment="1">
      <alignment horizontal="center"/>
    </xf>
    <xf numFmtId="49" fontId="5" fillId="9" borderId="0" xfId="0" applyNumberFormat="1" applyFont="1" applyFill="1" applyAlignment="1">
      <alignment horizontal="center"/>
    </xf>
    <xf numFmtId="49" fontId="5" fillId="4" borderId="0" xfId="0" applyNumberFormat="1" applyFont="1" applyFill="1" applyAlignment="1">
      <alignment horizontal="center"/>
    </xf>
    <xf numFmtId="0" fontId="8" fillId="4" borderId="0" xfId="0" applyFont="1" applyFill="1"/>
    <xf numFmtId="0" fontId="9" fillId="10" borderId="0" xfId="0" applyFont="1" applyFill="1" applyAlignment="1">
      <alignment horizontal="center" vertical="center" wrapText="1"/>
    </xf>
    <xf numFmtId="0" fontId="10" fillId="10" borderId="0" xfId="0" applyFont="1" applyFill="1" applyAlignment="1">
      <alignment horizontal="left" vertical="center" wrapText="1"/>
    </xf>
    <xf numFmtId="0" fontId="11" fillId="10" borderId="0" xfId="0" applyFont="1" applyFill="1" applyAlignment="1">
      <alignment horizontal="center" vertical="center" wrapText="1"/>
    </xf>
    <xf numFmtId="0" fontId="11" fillId="4" borderId="0" xfId="0" applyFont="1" applyFill="1" applyAlignment="1">
      <alignment horizontal="center" vertical="center" wrapText="1"/>
    </xf>
    <xf numFmtId="0" fontId="12" fillId="10" borderId="0" xfId="0" applyFont="1" applyFill="1" applyAlignment="1">
      <alignment horizontal="left" vertical="center" wrapText="1"/>
    </xf>
    <xf numFmtId="0" fontId="13" fillId="2" borderId="0" xfId="0" applyFont="1" applyFill="1" applyAlignment="1">
      <alignment horizontal="center" vertical="center" textRotation="90" wrapText="1"/>
    </xf>
    <xf numFmtId="0" fontId="14" fillId="2" borderId="0" xfId="0" applyFont="1" applyFill="1" applyAlignment="1">
      <alignment horizontal="right" vertical="top" wrapText="1"/>
    </xf>
    <xf numFmtId="0" fontId="12" fillId="3" borderId="0" xfId="0" applyFont="1" applyFill="1" applyAlignment="1">
      <alignment horizontal="center" vertical="top" wrapText="1"/>
    </xf>
    <xf numFmtId="0" fontId="16" fillId="4" borderId="0" xfId="0" applyFont="1" applyFill="1"/>
    <xf numFmtId="0" fontId="13" fillId="4" borderId="0" xfId="0" applyFont="1" applyFill="1" applyAlignment="1">
      <alignment horizontal="right" vertical="center"/>
    </xf>
    <xf numFmtId="0" fontId="11" fillId="12" borderId="0" xfId="0" applyFont="1" applyFill="1" applyAlignment="1">
      <alignment horizontal="center" vertical="center" wrapText="1"/>
    </xf>
    <xf numFmtId="0" fontId="11" fillId="2" borderId="0" xfId="0" applyFont="1" applyFill="1" applyAlignment="1">
      <alignment horizontal="center" vertical="center" wrapText="1"/>
    </xf>
    <xf numFmtId="0" fontId="5" fillId="4" borderId="0" xfId="0" applyFont="1" applyFill="1" applyAlignment="1">
      <alignment vertical="top"/>
    </xf>
    <xf numFmtId="0" fontId="5" fillId="4" borderId="0" xfId="0" applyFont="1" applyFill="1" applyAlignment="1">
      <alignment horizontal="center" vertical="top"/>
    </xf>
    <xf numFmtId="0" fontId="15" fillId="9" borderId="0" xfId="0" applyFont="1" applyFill="1"/>
    <xf numFmtId="0" fontId="5" fillId="7" borderId="0" xfId="0" applyFont="1" applyFill="1" applyAlignment="1">
      <alignment horizontal="right" vertical="top"/>
    </xf>
    <xf numFmtId="0" fontId="9" fillId="13" borderId="0" xfId="0" applyFont="1" applyFill="1" applyAlignment="1">
      <alignment vertical="center" wrapText="1"/>
    </xf>
    <xf numFmtId="0" fontId="18" fillId="14" borderId="0" xfId="0" applyFont="1" applyFill="1" applyAlignment="1">
      <alignment horizontal="left" vertical="center" wrapText="1"/>
    </xf>
    <xf numFmtId="0" fontId="1" fillId="13" borderId="0" xfId="0" applyFont="1" applyFill="1" applyAlignment="1">
      <alignment horizontal="center" vertical="center"/>
    </xf>
    <xf numFmtId="0" fontId="9" fillId="15" borderId="0" xfId="0" applyFont="1" applyFill="1" applyAlignment="1">
      <alignment vertical="center" wrapText="1"/>
    </xf>
    <xf numFmtId="0" fontId="1" fillId="15" borderId="0" xfId="0" applyFont="1" applyFill="1" applyAlignment="1">
      <alignment horizontal="center" vertical="center"/>
    </xf>
    <xf numFmtId="0" fontId="9" fillId="16" borderId="0" xfId="0" applyFont="1" applyFill="1" applyAlignment="1">
      <alignment vertical="center" wrapText="1"/>
    </xf>
    <xf numFmtId="0" fontId="18" fillId="17" borderId="0" xfId="0" applyFont="1" applyFill="1" applyAlignment="1">
      <alignment horizontal="left" vertical="center" wrapText="1"/>
    </xf>
    <xf numFmtId="0" fontId="1" fillId="16" borderId="0" xfId="0" applyFont="1" applyFill="1" applyAlignment="1">
      <alignment horizontal="center" vertical="center"/>
    </xf>
    <xf numFmtId="0" fontId="9" fillId="18" borderId="0" xfId="0" applyFont="1" applyFill="1" applyAlignment="1">
      <alignment vertical="center" wrapText="1"/>
    </xf>
    <xf numFmtId="0" fontId="18" fillId="19" borderId="0" xfId="0" applyFont="1" applyFill="1" applyAlignment="1">
      <alignment horizontal="left" vertical="center" wrapText="1"/>
    </xf>
    <xf numFmtId="0" fontId="1" fillId="18" borderId="0" xfId="0" applyFont="1" applyFill="1" applyAlignment="1">
      <alignment horizontal="center" vertical="center"/>
    </xf>
    <xf numFmtId="0" fontId="1" fillId="3" borderId="0" xfId="0" applyFont="1" applyFill="1" applyAlignment="1">
      <alignment horizontal="left" vertical="top"/>
    </xf>
    <xf numFmtId="0" fontId="1" fillId="4" borderId="0" xfId="0" applyFont="1" applyFill="1" applyAlignment="1">
      <alignment horizontal="left" vertical="top"/>
    </xf>
    <xf numFmtId="0" fontId="9" fillId="20" borderId="0" xfId="0" applyFont="1" applyFill="1" applyAlignment="1">
      <alignment vertical="center" wrapText="1"/>
    </xf>
    <xf numFmtId="0" fontId="1" fillId="20" borderId="0" xfId="0" applyFont="1" applyFill="1" applyAlignment="1">
      <alignment horizontal="center" vertical="center"/>
    </xf>
    <xf numFmtId="0" fontId="11" fillId="4" borderId="0" xfId="0" applyFont="1" applyFill="1" applyAlignment="1">
      <alignment horizontal="left" vertical="top" wrapText="1"/>
    </xf>
    <xf numFmtId="0" fontId="9" fillId="21" borderId="0" xfId="0" applyFont="1" applyFill="1" applyAlignment="1">
      <alignment vertical="center" wrapText="1"/>
    </xf>
    <xf numFmtId="0" fontId="1" fillId="21" borderId="0" xfId="0" applyFont="1" applyFill="1" applyAlignment="1">
      <alignment horizontal="center" vertical="center"/>
    </xf>
    <xf numFmtId="0" fontId="1" fillId="3" borderId="0" xfId="0" applyFont="1" applyFill="1" applyAlignment="1">
      <alignment vertical="top"/>
    </xf>
    <xf numFmtId="0" fontId="8" fillId="4" borderId="0" xfId="0" applyFont="1" applyFill="1" applyAlignment="1">
      <alignment vertical="top"/>
    </xf>
    <xf numFmtId="0" fontId="11" fillId="4" borderId="0" xfId="0" applyFont="1" applyFill="1" applyAlignment="1">
      <alignment horizontal="center" vertical="top" wrapText="1"/>
    </xf>
    <xf numFmtId="0" fontId="5" fillId="4" borderId="0" xfId="0" applyFont="1" applyFill="1"/>
    <xf numFmtId="0" fontId="15" fillId="4" borderId="0" xfId="0" applyFont="1" applyFill="1"/>
    <xf numFmtId="0" fontId="5" fillId="7" borderId="0" xfId="0" applyFont="1" applyFill="1" applyAlignment="1">
      <alignment wrapText="1"/>
    </xf>
    <xf numFmtId="0" fontId="19" fillId="0" borderId="0" xfId="0" applyFont="1" applyAlignment="1">
      <alignment horizontal="left"/>
    </xf>
    <xf numFmtId="0" fontId="1" fillId="0" borderId="0" xfId="0" applyFont="1" applyAlignment="1">
      <alignment wrapText="1"/>
    </xf>
    <xf numFmtId="0" fontId="19" fillId="22" borderId="0" xfId="0" applyFont="1" applyFill="1" applyAlignment="1">
      <alignment horizontal="left"/>
    </xf>
    <xf numFmtId="0" fontId="1" fillId="22" borderId="0" xfId="0" applyFont="1" applyFill="1" applyAlignment="1">
      <alignment wrapText="1"/>
    </xf>
    <xf numFmtId="0" fontId="12" fillId="3" borderId="0" xfId="0" applyFont="1" applyFill="1" applyAlignment="1">
      <alignment horizontal="center" vertical="center" wrapText="1"/>
    </xf>
    <xf numFmtId="0" fontId="12" fillId="26" borderId="0" xfId="0" applyFont="1" applyFill="1" applyAlignment="1">
      <alignment horizontal="left" vertical="top" wrapText="1"/>
    </xf>
    <xf numFmtId="0" fontId="15" fillId="27" borderId="0" xfId="0" applyFont="1" applyFill="1" applyAlignment="1">
      <alignment vertical="top" wrapText="1" readingOrder="1"/>
    </xf>
    <xf numFmtId="0" fontId="15" fillId="25" borderId="0" xfId="0" applyFont="1" applyFill="1" applyAlignment="1">
      <alignment vertical="top" wrapText="1"/>
    </xf>
    <xf numFmtId="0" fontId="15" fillId="28" borderId="0" xfId="0" applyFont="1" applyFill="1" applyAlignment="1">
      <alignment vertical="top" wrapText="1"/>
    </xf>
    <xf numFmtId="0" fontId="12" fillId="24" borderId="0" xfId="0" applyFont="1" applyFill="1" applyAlignment="1">
      <alignment horizontal="left" vertical="center" wrapText="1"/>
    </xf>
    <xf numFmtId="0" fontId="12" fillId="24" borderId="0" xfId="0" applyFont="1" applyFill="1" applyAlignment="1">
      <alignment horizontal="center" vertical="center" wrapText="1"/>
    </xf>
    <xf numFmtId="0" fontId="12" fillId="26" borderId="0" xfId="0" applyFont="1" applyFill="1" applyAlignment="1">
      <alignment horizontal="right" vertical="top" wrapText="1"/>
    </xf>
    <xf numFmtId="0" fontId="12" fillId="23" borderId="0" xfId="0" applyFont="1" applyFill="1" applyAlignment="1">
      <alignment horizontal="center" vertical="center" wrapText="1"/>
    </xf>
    <xf numFmtId="0" fontId="20" fillId="2" borderId="0" xfId="0" applyFont="1" applyFill="1"/>
    <xf numFmtId="0" fontId="21" fillId="2" borderId="0" xfId="0" applyFont="1" applyFill="1"/>
    <xf numFmtId="49" fontId="20" fillId="2" borderId="0" xfId="0" applyNumberFormat="1" applyFont="1" applyFill="1"/>
    <xf numFmtId="49" fontId="21" fillId="2" borderId="0" xfId="0" applyNumberFormat="1" applyFont="1" applyFill="1"/>
    <xf numFmtId="0" fontId="22" fillId="25" borderId="0" xfId="0" applyFont="1" applyFill="1" applyAlignment="1">
      <alignment vertical="top" wrapText="1"/>
    </xf>
    <xf numFmtId="0" fontId="24" fillId="2" borderId="0" xfId="0" applyFont="1" applyFill="1" applyAlignment="1">
      <alignment horizontal="right" vertical="top" wrapText="1"/>
    </xf>
    <xf numFmtId="0" fontId="26" fillId="4" borderId="0" xfId="0" applyFont="1" applyFill="1" applyAlignment="1">
      <alignment horizontal="center" vertical="center" wrapText="1"/>
    </xf>
    <xf numFmtId="0" fontId="26" fillId="11" borderId="0" xfId="0" applyFont="1" applyFill="1" applyAlignment="1">
      <alignment horizontal="center" vertical="center" wrapText="1"/>
    </xf>
    <xf numFmtId="0" fontId="28" fillId="4" borderId="0" xfId="0" applyFont="1" applyFill="1"/>
    <xf numFmtId="0" fontId="15" fillId="29" borderId="0" xfId="0" applyFont="1" applyFill="1" applyAlignment="1">
      <alignment vertical="top" wrapText="1"/>
    </xf>
    <xf numFmtId="0" fontId="25" fillId="3" borderId="0" xfId="0" applyFont="1" applyFill="1"/>
    <xf numFmtId="0" fontId="27" fillId="2" borderId="0" xfId="0" applyFont="1" applyFill="1" applyAlignment="1">
      <alignment horizontal="left" vertical="top" textRotation="90" wrapText="1"/>
    </xf>
    <xf numFmtId="0" fontId="5" fillId="31" borderId="0" xfId="0" applyFont="1" applyFill="1"/>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10" fillId="10" borderId="0" xfId="0" applyFont="1" applyFill="1" applyAlignment="1">
      <alignment horizontal="left" vertical="center" wrapText="1"/>
    </xf>
    <xf numFmtId="0" fontId="17" fillId="4" borderId="0" xfId="0" applyFont="1" applyFill="1"/>
    <xf numFmtId="0" fontId="18" fillId="14" borderId="0" xfId="0" applyFont="1" applyFill="1" applyAlignment="1">
      <alignment horizontal="left" vertical="center" wrapText="1"/>
    </xf>
    <xf numFmtId="0" fontId="18" fillId="17" borderId="0" xfId="0" applyFont="1" applyFill="1" applyAlignment="1">
      <alignment horizontal="left" vertical="center" wrapText="1"/>
    </xf>
    <xf numFmtId="0" fontId="18" fillId="19" borderId="0" xfId="0" applyFont="1" applyFill="1" applyAlignment="1">
      <alignment horizontal="left" vertical="center" wrapText="1"/>
    </xf>
    <xf numFmtId="0" fontId="5" fillId="7" borderId="0" xfId="0" applyFont="1" applyFill="1" applyAlignment="1">
      <alignment vertical="top"/>
    </xf>
    <xf numFmtId="0" fontId="11" fillId="11" borderId="0" xfId="0" applyFont="1" applyFill="1" applyAlignment="1">
      <alignment horizontal="center" vertical="center" wrapText="1"/>
    </xf>
    <xf numFmtId="0" fontId="15" fillId="0" borderId="0" xfId="0" applyFont="1" applyAlignment="1">
      <alignment wrapText="1"/>
    </xf>
    <xf numFmtId="0" fontId="15" fillId="0" borderId="0" xfId="0" applyFont="1" applyAlignment="1">
      <alignment horizontal="left" wrapText="1"/>
    </xf>
    <xf numFmtId="0" fontId="5" fillId="7" borderId="0" xfId="0" applyFont="1" applyFill="1" applyAlignment="1">
      <alignment wrapText="1"/>
    </xf>
    <xf numFmtId="0" fontId="15" fillId="22" borderId="0" xfId="0" applyFont="1" applyFill="1" applyAlignment="1">
      <alignment wrapText="1"/>
    </xf>
    <xf numFmtId="0" fontId="15" fillId="22" borderId="0" xfId="0" applyFont="1" applyFill="1" applyAlignment="1">
      <alignment horizontal="left" wrapText="1"/>
    </xf>
    <xf numFmtId="0" fontId="12" fillId="23" borderId="0" xfId="0" applyFont="1" applyFill="1" applyAlignment="1">
      <alignment horizontal="center" vertical="center" wrapText="1"/>
    </xf>
    <xf numFmtId="0" fontId="23" fillId="3" borderId="0" xfId="0" applyFont="1" applyFill="1" applyAlignment="1">
      <alignment horizontal="center" vertical="center" wrapText="1"/>
    </xf>
    <xf numFmtId="0" fontId="22" fillId="28" borderId="0" xfId="0" applyFont="1" applyFill="1" applyAlignment="1">
      <alignment horizontal="left" vertical="top" wrapText="1"/>
    </xf>
    <xf numFmtId="0" fontId="23" fillId="24" borderId="0" xfId="0" applyFont="1" applyFill="1" applyAlignment="1">
      <alignment horizontal="center" vertical="center" wrapText="1"/>
    </xf>
    <xf numFmtId="0" fontId="1" fillId="30" borderId="0" xfId="0" applyFont="1" applyFill="1" applyAlignment="1">
      <alignment horizontal="left" vertical="top" wrapText="1"/>
    </xf>
    <xf numFmtId="0" fontId="15" fillId="28" borderId="0" xfId="0" applyFont="1" applyFill="1" applyAlignment="1">
      <alignment horizontal="left" vertical="top" wrapText="1"/>
    </xf>
    <xf numFmtId="0" fontId="12" fillId="24" borderId="0" xfId="0" applyFont="1" applyFill="1" applyAlignment="1">
      <alignment horizontal="center" vertical="center" wrapText="1"/>
    </xf>
    <xf numFmtId="0" fontId="15" fillId="25" borderId="0" xfId="0" applyFont="1" applyFill="1" applyAlignment="1">
      <alignment horizontal="left" vertical="top" wrapText="1"/>
    </xf>
    <xf numFmtId="0" fontId="12" fillId="3" borderId="0" xfId="0" applyFont="1" applyFill="1" applyAlignment="1">
      <alignment horizontal="center" vertical="top" wrapText="1"/>
    </xf>
    <xf numFmtId="0" fontId="30" fillId="0" borderId="0" xfId="0" applyFont="1" applyAlignment="1">
      <alignment horizontal="center" vertical="center"/>
    </xf>
    <xf numFmtId="0" fontId="31" fillId="33" borderId="0" xfId="0" applyFont="1" applyFill="1" applyAlignment="1">
      <alignment horizontal="center" vertical="center"/>
    </xf>
    <xf numFmtId="0" fontId="12" fillId="10" borderId="0" xfId="0" applyFont="1" applyFill="1" applyAlignment="1">
      <alignment horizontal="left" vertical="center" wrapText="1"/>
    </xf>
    <xf numFmtId="0" fontId="22" fillId="25" borderId="0" xfId="0" applyFont="1" applyFill="1" applyAlignment="1">
      <alignment horizontal="left" vertical="top" wrapText="1"/>
    </xf>
    <xf numFmtId="49" fontId="5" fillId="7" borderId="0" xfId="0" applyNumberFormat="1" applyFont="1" applyFill="1" applyAlignment="1">
      <alignment horizont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7" fillId="0" borderId="0" xfId="0" applyFont="1" applyAlignment="1">
      <alignment horizontal="center" vertical="center"/>
    </xf>
    <xf numFmtId="0" fontId="29" fillId="32" borderId="0" xfId="0" applyFont="1" applyFill="1" applyAlignment="1">
      <alignment horizontal="center" vertical="center" wrapText="1"/>
    </xf>
    <xf numFmtId="0" fontId="1" fillId="28" borderId="0" xfId="0" applyFont="1" applyFill="1" applyAlignment="1">
      <alignment horizontal="center" vertical="top" wrapText="1"/>
    </xf>
    <xf numFmtId="0" fontId="15" fillId="29" borderId="0" xfId="0" applyFont="1" applyFill="1" applyAlignment="1">
      <alignment horizontal="center" vertical="top" wrapText="1"/>
    </xf>
  </cellXfs>
  <cellStyles count="1">
    <cellStyle name="Normal" xfId="0" builtinId="0"/>
  </cellStyles>
  <dxfs count="9">
    <dxf>
      <font>
        <color rgb="FF006100"/>
      </font>
      <fill>
        <patternFill>
          <bgColor rgb="FFC6EFCE"/>
        </patternFill>
      </fill>
    </dxf>
    <dxf>
      <fill>
        <patternFill patternType="solid">
          <fgColor rgb="FFB7E1CD"/>
          <bgColor rgb="FFB7E1CD"/>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CC8AF"/>
      <color rgb="FFFBF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B81E-B667-4180-AB77-52C8B7291D32}">
  <dimension ref="A1:AC74"/>
  <sheetViews>
    <sheetView tabSelected="1" topLeftCell="D37" zoomScale="90" zoomScaleNormal="90" workbookViewId="0">
      <selection activeCell="K37" sqref="K37:K38"/>
    </sheetView>
  </sheetViews>
  <sheetFormatPr baseColWidth="10" defaultColWidth="9.1640625" defaultRowHeight="15" x14ac:dyDescent="0.2"/>
  <cols>
    <col min="1" max="2" width="9.1640625" style="1"/>
    <col min="3" max="3" width="17.5" style="1" customWidth="1"/>
    <col min="4" max="4" width="40.6640625" style="1" customWidth="1"/>
    <col min="5" max="10" width="30.6640625" style="1" customWidth="1"/>
    <col min="11" max="11" width="20.6640625" style="1" customWidth="1"/>
    <col min="12" max="12" width="4.33203125" style="1" customWidth="1"/>
    <col min="13" max="13" width="16.1640625" style="1" customWidth="1"/>
    <col min="14" max="14" width="15.6640625" style="1" customWidth="1"/>
    <col min="15" max="16" width="9.1640625" style="1"/>
    <col min="17" max="18" width="10.5" style="1" bestFit="1" customWidth="1"/>
    <col min="19" max="16384" width="9.1640625" style="1"/>
  </cols>
  <sheetData>
    <row r="1" spans="1:29" x14ac:dyDescent="0.2">
      <c r="A1" s="2"/>
      <c r="B1" s="2"/>
      <c r="C1" s="2"/>
      <c r="D1" s="2"/>
      <c r="E1" s="2"/>
      <c r="F1" s="2"/>
      <c r="G1" s="2"/>
      <c r="H1" s="2"/>
      <c r="I1" s="2"/>
      <c r="J1" s="2"/>
      <c r="K1" s="2"/>
      <c r="L1" s="2"/>
      <c r="M1" s="2"/>
      <c r="N1" s="2"/>
      <c r="O1" s="2"/>
      <c r="P1" s="3"/>
    </row>
    <row r="2" spans="1:29" x14ac:dyDescent="0.2">
      <c r="A2" s="2"/>
      <c r="B2" s="2"/>
      <c r="C2" s="2"/>
      <c r="D2" s="2"/>
      <c r="E2" s="2"/>
      <c r="F2" s="2"/>
      <c r="G2" s="2"/>
      <c r="H2" s="2"/>
      <c r="I2" s="2"/>
      <c r="J2" s="2"/>
      <c r="K2" s="2"/>
      <c r="L2" s="2"/>
      <c r="M2" s="2"/>
      <c r="N2" s="2"/>
      <c r="O2" s="2"/>
      <c r="P2" s="3"/>
    </row>
    <row r="3" spans="1:29" ht="24" x14ac:dyDescent="0.3">
      <c r="A3" s="2"/>
      <c r="B3" s="4"/>
      <c r="C3" s="4"/>
      <c r="D3" s="5" t="s">
        <v>0</v>
      </c>
      <c r="E3" s="5"/>
      <c r="F3" s="4"/>
      <c r="G3" s="4"/>
      <c r="H3" s="4"/>
      <c r="I3" s="4"/>
      <c r="J3" s="4"/>
      <c r="K3" s="4"/>
      <c r="L3" s="4"/>
      <c r="M3" s="4"/>
      <c r="N3" s="4"/>
      <c r="O3" s="2"/>
      <c r="P3" s="3"/>
    </row>
    <row r="4" spans="1:29" ht="18" x14ac:dyDescent="0.25">
      <c r="A4" s="6"/>
      <c r="B4" s="7"/>
      <c r="C4" s="7"/>
      <c r="D4" s="8"/>
      <c r="E4" s="9" t="s">
        <v>1</v>
      </c>
      <c r="F4" s="85" t="s">
        <v>2</v>
      </c>
      <c r="G4" s="85" t="s">
        <v>3</v>
      </c>
      <c r="H4" s="85" t="s">
        <v>3</v>
      </c>
      <c r="I4" s="13" t="s">
        <v>3</v>
      </c>
      <c r="J4" s="86" t="s">
        <v>4</v>
      </c>
      <c r="K4" s="87" t="s">
        <v>5</v>
      </c>
      <c r="L4" s="114" t="s">
        <v>6</v>
      </c>
      <c r="M4" s="115"/>
      <c r="N4" s="4"/>
      <c r="O4" s="6"/>
      <c r="P4" s="11"/>
      <c r="Q4" s="73"/>
      <c r="R4" s="73"/>
      <c r="S4" s="73"/>
      <c r="T4" s="73"/>
      <c r="U4" s="73"/>
      <c r="V4" s="73"/>
      <c r="W4" s="73"/>
      <c r="X4" s="73"/>
      <c r="Y4" s="73"/>
      <c r="Z4" s="73"/>
      <c r="AA4" s="73"/>
      <c r="AB4" s="73"/>
      <c r="AC4" s="73"/>
    </row>
    <row r="5" spans="1:29" ht="18.75" customHeight="1" x14ac:dyDescent="0.25">
      <c r="A5" s="2"/>
      <c r="B5" s="12"/>
      <c r="C5" s="12"/>
      <c r="D5" s="13" t="s">
        <v>7</v>
      </c>
      <c r="E5" s="14" t="s">
        <v>8</v>
      </c>
      <c r="F5" s="116" t="s">
        <v>8</v>
      </c>
      <c r="G5" s="116"/>
      <c r="H5" s="116"/>
      <c r="I5" s="116"/>
      <c r="J5" s="117" t="str">
        <f>IF(AND(K24&gt;(0.55*M24), K33&gt;(0.55*M33), K37&gt;(0.55*M37)),"PASS", "FAIL")</f>
        <v>FAIL</v>
      </c>
      <c r="K5" s="109">
        <f>K40/10</f>
        <v>0</v>
      </c>
      <c r="L5" s="110" t="str">
        <f>IF(AND(K5&gt;=5.5, K24&gt;(0.55*M24), K33&gt;(0.55*M33), K37&gt;(0.55*M37)),"PASS","FAIL")</f>
        <v>FAIL</v>
      </c>
      <c r="M5" s="110"/>
      <c r="N5" s="4"/>
      <c r="O5" s="2"/>
      <c r="P5" s="3"/>
      <c r="Q5" s="74"/>
      <c r="R5" s="73"/>
      <c r="S5" s="73"/>
      <c r="T5" s="73"/>
      <c r="U5" s="73"/>
      <c r="V5" s="73"/>
      <c r="W5" s="73"/>
      <c r="X5" s="73"/>
      <c r="Y5" s="73"/>
      <c r="Z5" s="73"/>
      <c r="AA5" s="73"/>
      <c r="AB5" s="73"/>
      <c r="AC5" s="73"/>
    </row>
    <row r="6" spans="1:29" ht="18.75" customHeight="1" x14ac:dyDescent="0.25">
      <c r="A6" s="2"/>
      <c r="B6" s="12"/>
      <c r="C6" s="12"/>
      <c r="D6" s="13" t="s">
        <v>9</v>
      </c>
      <c r="E6" s="14" t="s">
        <v>8</v>
      </c>
      <c r="F6" s="116"/>
      <c r="G6" s="116"/>
      <c r="H6" s="116"/>
      <c r="I6" s="116"/>
      <c r="J6" s="117"/>
      <c r="K6" s="109"/>
      <c r="L6" s="110"/>
      <c r="M6" s="110"/>
      <c r="N6" s="4"/>
      <c r="O6" s="2"/>
      <c r="P6" s="3"/>
      <c r="Q6" s="75"/>
      <c r="R6" s="75"/>
      <c r="S6" s="73"/>
      <c r="T6" s="73"/>
      <c r="U6" s="73"/>
      <c r="V6" s="73"/>
      <c r="W6" s="73"/>
      <c r="X6" s="73"/>
      <c r="Y6" s="73"/>
      <c r="Z6" s="73"/>
      <c r="AA6" s="73"/>
      <c r="AB6" s="73"/>
      <c r="AC6" s="73"/>
    </row>
    <row r="7" spans="1:29" ht="18.75" customHeight="1" x14ac:dyDescent="0.25">
      <c r="A7" s="2"/>
      <c r="B7" s="12"/>
      <c r="C7" s="12"/>
      <c r="D7" s="13" t="s">
        <v>10</v>
      </c>
      <c r="E7" s="14" t="s">
        <v>8</v>
      </c>
      <c r="F7" s="116"/>
      <c r="G7" s="116"/>
      <c r="H7" s="116"/>
      <c r="I7" s="116"/>
      <c r="J7" s="117"/>
      <c r="K7" s="109"/>
      <c r="L7" s="110"/>
      <c r="M7" s="110"/>
      <c r="N7" s="4"/>
      <c r="O7" s="2"/>
      <c r="P7" s="3"/>
      <c r="Q7" s="75"/>
      <c r="R7" s="75"/>
      <c r="S7" s="73"/>
      <c r="T7" s="73"/>
      <c r="U7" s="73"/>
      <c r="V7" s="73"/>
      <c r="W7" s="73"/>
      <c r="X7" s="73"/>
      <c r="Y7" s="73"/>
      <c r="Z7" s="73"/>
      <c r="AA7" s="73"/>
      <c r="AB7" s="73"/>
      <c r="AC7" s="73"/>
    </row>
    <row r="8" spans="1:29" ht="18.75" customHeight="1" x14ac:dyDescent="0.25">
      <c r="A8" s="2"/>
      <c r="B8" s="12"/>
      <c r="C8" s="12"/>
      <c r="D8" s="13" t="s">
        <v>11</v>
      </c>
      <c r="E8" s="14" t="s">
        <v>8</v>
      </c>
      <c r="F8" s="116"/>
      <c r="G8" s="116"/>
      <c r="H8" s="116"/>
      <c r="I8" s="116"/>
      <c r="J8" s="117"/>
      <c r="K8" s="109"/>
      <c r="L8" s="110"/>
      <c r="M8" s="110"/>
      <c r="N8" s="4"/>
      <c r="O8" s="2"/>
      <c r="P8" s="3"/>
      <c r="Q8" s="75"/>
      <c r="R8" s="75"/>
      <c r="S8" s="73"/>
      <c r="T8" s="73"/>
      <c r="U8" s="73"/>
      <c r="V8" s="73"/>
      <c r="W8" s="73"/>
      <c r="X8" s="73"/>
      <c r="Y8" s="73"/>
      <c r="Z8" s="73"/>
      <c r="AA8" s="73"/>
      <c r="AB8" s="73"/>
      <c r="AC8" s="73"/>
    </row>
    <row r="9" spans="1:29" ht="18.75" customHeight="1" x14ac:dyDescent="0.25">
      <c r="A9" s="2"/>
      <c r="B9" s="12"/>
      <c r="C9" s="12"/>
      <c r="D9" s="13" t="s">
        <v>12</v>
      </c>
      <c r="E9" s="14" t="s">
        <v>8</v>
      </c>
      <c r="F9" s="116"/>
      <c r="G9" s="116"/>
      <c r="H9" s="116"/>
      <c r="I9" s="116"/>
      <c r="J9" s="117"/>
      <c r="K9" s="109"/>
      <c r="L9" s="110"/>
      <c r="M9" s="110"/>
      <c r="N9" s="4"/>
      <c r="O9" s="2"/>
      <c r="P9" s="3"/>
      <c r="Q9" s="75"/>
      <c r="R9" s="75"/>
      <c r="S9" s="73"/>
      <c r="T9" s="73"/>
      <c r="U9" s="73"/>
      <c r="V9" s="73"/>
      <c r="W9" s="73"/>
      <c r="X9" s="73"/>
      <c r="Y9" s="73"/>
      <c r="Z9" s="73"/>
      <c r="AA9" s="73"/>
      <c r="AB9" s="73"/>
      <c r="AC9" s="73"/>
    </row>
    <row r="10" spans="1:29" ht="18" x14ac:dyDescent="0.25">
      <c r="A10" s="2"/>
      <c r="B10" s="4"/>
      <c r="C10" s="4"/>
      <c r="D10" s="4"/>
      <c r="E10" s="4"/>
      <c r="F10" s="4"/>
      <c r="G10" s="4"/>
      <c r="H10" s="4"/>
      <c r="I10" s="4"/>
      <c r="J10" s="4"/>
      <c r="K10" s="4"/>
      <c r="L10" s="4"/>
      <c r="M10" s="4"/>
      <c r="N10" s="4"/>
      <c r="O10" s="2"/>
      <c r="P10" s="3"/>
      <c r="Q10" s="75"/>
      <c r="R10" s="75"/>
      <c r="S10" s="73"/>
      <c r="T10" s="73"/>
      <c r="U10" s="73"/>
      <c r="V10" s="73"/>
      <c r="W10" s="73"/>
      <c r="X10" s="73"/>
      <c r="Y10" s="73"/>
      <c r="Z10" s="73"/>
      <c r="AA10" s="73"/>
      <c r="AB10" s="73"/>
      <c r="AC10" s="73"/>
    </row>
    <row r="11" spans="1:29" ht="18" x14ac:dyDescent="0.25">
      <c r="A11" s="2"/>
      <c r="B11" s="2"/>
      <c r="C11" s="2"/>
      <c r="D11" s="2"/>
      <c r="E11" s="2"/>
      <c r="F11" s="2"/>
      <c r="G11" s="2"/>
      <c r="H11" s="2"/>
      <c r="I11" s="2"/>
      <c r="J11" s="2"/>
      <c r="K11" s="2"/>
      <c r="L11" s="2"/>
      <c r="M11" s="2"/>
      <c r="N11" s="2"/>
      <c r="O11" s="2"/>
      <c r="P11" s="3"/>
      <c r="Q11" s="75"/>
      <c r="R11" s="75"/>
      <c r="S11" s="73"/>
      <c r="T11" s="73"/>
      <c r="U11" s="73"/>
      <c r="V11" s="73"/>
      <c r="W11" s="73"/>
      <c r="X11" s="73"/>
      <c r="Y11" s="73"/>
      <c r="Z11" s="73"/>
      <c r="AA11" s="73"/>
      <c r="AB11" s="73"/>
      <c r="AC11" s="73"/>
    </row>
    <row r="12" spans="1:29" ht="24" x14ac:dyDescent="0.3">
      <c r="A12" s="2"/>
      <c r="B12" s="4"/>
      <c r="C12" s="4"/>
      <c r="D12" s="5" t="s">
        <v>13</v>
      </c>
      <c r="E12" s="4"/>
      <c r="F12" s="4"/>
      <c r="G12" s="4"/>
      <c r="H12" s="4"/>
      <c r="I12" s="4"/>
      <c r="J12" s="4"/>
      <c r="K12" s="4"/>
      <c r="L12" s="4"/>
      <c r="M12" s="4"/>
      <c r="N12" s="4"/>
      <c r="O12" s="2"/>
      <c r="P12" s="3"/>
      <c r="Q12" s="76"/>
      <c r="R12" s="75"/>
      <c r="S12" s="73"/>
      <c r="T12" s="73"/>
      <c r="U12" s="73"/>
      <c r="V12" s="73"/>
      <c r="W12" s="73"/>
      <c r="X12" s="73"/>
      <c r="Y12" s="73"/>
      <c r="Z12" s="73"/>
      <c r="AA12" s="73"/>
      <c r="AB12" s="73"/>
      <c r="AC12" s="73"/>
    </row>
    <row r="13" spans="1:29" ht="15" customHeight="1" x14ac:dyDescent="0.25">
      <c r="A13" s="2"/>
      <c r="B13" s="4"/>
      <c r="C13" s="15"/>
      <c r="D13" s="15"/>
      <c r="E13" s="16" t="s">
        <v>14</v>
      </c>
      <c r="F13" s="113" t="s">
        <v>15</v>
      </c>
      <c r="G13" s="113"/>
      <c r="H13" s="113"/>
      <c r="I13" s="113"/>
      <c r="J13" s="113"/>
      <c r="K13" s="16" t="s">
        <v>16</v>
      </c>
      <c r="L13" s="16"/>
      <c r="M13" s="17" t="s">
        <v>17</v>
      </c>
      <c r="N13" s="18"/>
      <c r="O13" s="2"/>
      <c r="Q13" s="75"/>
      <c r="R13" s="75"/>
      <c r="S13" s="73"/>
      <c r="T13" s="73"/>
      <c r="U13" s="73"/>
      <c r="V13" s="73"/>
      <c r="W13" s="73"/>
      <c r="X13" s="73"/>
      <c r="Y13" s="73"/>
      <c r="Z13" s="73"/>
      <c r="AA13" s="73"/>
      <c r="AB13" s="73"/>
      <c r="AC13" s="73"/>
    </row>
    <row r="14" spans="1:29" ht="42" customHeight="1" x14ac:dyDescent="0.2">
      <c r="A14" s="2"/>
      <c r="B14" s="19"/>
      <c r="C14" s="20" t="s">
        <v>18</v>
      </c>
      <c r="D14" s="111" t="s">
        <v>19</v>
      </c>
      <c r="E14" s="111"/>
      <c r="F14" s="111"/>
      <c r="G14" s="111"/>
      <c r="H14" s="111"/>
      <c r="I14" s="111"/>
      <c r="J14" s="111"/>
      <c r="K14" s="111"/>
      <c r="L14" s="24"/>
      <c r="M14" s="22"/>
      <c r="N14" s="23"/>
      <c r="O14" s="2"/>
    </row>
    <row r="15" spans="1:29" ht="18.75" customHeight="1" x14ac:dyDescent="0.2">
      <c r="A15" s="2"/>
      <c r="B15" s="19"/>
      <c r="C15" s="20"/>
      <c r="D15" s="69"/>
      <c r="E15" s="70" t="s">
        <v>20</v>
      </c>
      <c r="F15" s="70" t="s">
        <v>21</v>
      </c>
      <c r="G15" s="70" t="s">
        <v>22</v>
      </c>
      <c r="H15" s="70" t="s">
        <v>23</v>
      </c>
      <c r="I15" s="70" t="s">
        <v>24</v>
      </c>
      <c r="J15" s="70" t="s">
        <v>25</v>
      </c>
      <c r="K15" s="24"/>
      <c r="L15" s="24"/>
      <c r="M15" s="24"/>
      <c r="N15" s="23"/>
      <c r="O15" s="2"/>
    </row>
    <row r="16" spans="1:29" ht="176.25" customHeight="1" x14ac:dyDescent="0.2">
      <c r="A16" s="2"/>
      <c r="B16" s="19"/>
      <c r="C16" s="25" t="s">
        <v>26</v>
      </c>
      <c r="D16" s="65" t="s">
        <v>27</v>
      </c>
      <c r="E16" s="66" t="s">
        <v>28</v>
      </c>
      <c r="F16" s="67" t="s">
        <v>29</v>
      </c>
      <c r="G16" s="68" t="s">
        <v>30</v>
      </c>
      <c r="H16" s="67" t="s">
        <v>31</v>
      </c>
      <c r="I16" s="68" t="s">
        <v>32</v>
      </c>
      <c r="J16" s="77" t="s">
        <v>33</v>
      </c>
      <c r="K16" s="94">
        <f>IF(E17="yes", SUM(F17:J17), 0)</f>
        <v>0</v>
      </c>
      <c r="L16" s="94" t="s">
        <v>34</v>
      </c>
      <c r="M16" s="94">
        <v>10</v>
      </c>
      <c r="N16" s="23"/>
      <c r="O16" s="2"/>
    </row>
    <row r="17" spans="1:15" ht="18.75" customHeight="1" x14ac:dyDescent="0.2">
      <c r="A17" s="2"/>
      <c r="B17" s="19"/>
      <c r="C17" s="25"/>
      <c r="D17" s="26" t="s">
        <v>35</v>
      </c>
      <c r="E17" s="27" t="s">
        <v>36</v>
      </c>
      <c r="F17" s="27">
        <v>0</v>
      </c>
      <c r="G17" s="27">
        <v>0</v>
      </c>
      <c r="H17" s="27">
        <v>0</v>
      </c>
      <c r="I17" s="27">
        <v>0</v>
      </c>
      <c r="J17" s="27">
        <v>0</v>
      </c>
      <c r="K17" s="94"/>
      <c r="L17" s="94"/>
      <c r="M17" s="94"/>
      <c r="N17" s="23"/>
      <c r="O17" s="2"/>
    </row>
    <row r="18" spans="1:15" ht="42" customHeight="1" x14ac:dyDescent="0.2">
      <c r="A18" s="2"/>
      <c r="B18" s="19"/>
      <c r="C18" s="20" t="s">
        <v>37</v>
      </c>
      <c r="D18" s="111" t="s">
        <v>38</v>
      </c>
      <c r="E18" s="111"/>
      <c r="F18" s="111"/>
      <c r="G18" s="111"/>
      <c r="H18" s="111"/>
      <c r="I18" s="111"/>
      <c r="J18" s="111"/>
      <c r="K18" s="111"/>
      <c r="L18" s="24"/>
      <c r="M18" s="22"/>
      <c r="N18" s="23"/>
      <c r="O18" s="2"/>
    </row>
    <row r="19" spans="1:15" ht="18.75" customHeight="1" x14ac:dyDescent="0.2">
      <c r="A19" s="2"/>
      <c r="B19" s="19"/>
      <c r="C19" s="20"/>
      <c r="D19" s="69"/>
      <c r="E19" s="70" t="s">
        <v>20</v>
      </c>
      <c r="F19" s="106" t="s">
        <v>39</v>
      </c>
      <c r="G19" s="106"/>
      <c r="H19" s="106"/>
      <c r="I19" s="106"/>
      <c r="J19" s="106"/>
      <c r="K19" s="24"/>
      <c r="L19" s="24"/>
      <c r="M19" s="24"/>
      <c r="N19" s="23"/>
      <c r="O19" s="2"/>
    </row>
    <row r="20" spans="1:15" ht="129" customHeight="1" x14ac:dyDescent="0.2">
      <c r="A20" s="2"/>
      <c r="B20" s="19"/>
      <c r="C20" s="25" t="s">
        <v>26</v>
      </c>
      <c r="D20" s="65" t="s">
        <v>40</v>
      </c>
      <c r="E20" s="66" t="s">
        <v>28</v>
      </c>
      <c r="F20" s="112" t="s">
        <v>41</v>
      </c>
      <c r="G20" s="107"/>
      <c r="H20" s="107"/>
      <c r="I20" s="107"/>
      <c r="J20" s="107"/>
      <c r="K20" s="94">
        <f>IF(E21="yes", SUM(F21:J21), 0)</f>
        <v>0</v>
      </c>
      <c r="L20" s="94" t="s">
        <v>34</v>
      </c>
      <c r="M20" s="94">
        <v>10</v>
      </c>
      <c r="N20" s="23"/>
      <c r="O20" s="2"/>
    </row>
    <row r="21" spans="1:15" ht="18.75" customHeight="1" x14ac:dyDescent="0.2">
      <c r="A21" s="2"/>
      <c r="B21" s="19"/>
      <c r="C21" s="25"/>
      <c r="D21" s="26" t="s">
        <v>35</v>
      </c>
      <c r="E21" s="27" t="s">
        <v>36</v>
      </c>
      <c r="F21" s="108">
        <v>0</v>
      </c>
      <c r="G21" s="108"/>
      <c r="H21" s="108"/>
      <c r="I21" s="108"/>
      <c r="J21" s="108"/>
      <c r="K21" s="94"/>
      <c r="L21" s="94"/>
      <c r="M21" s="94"/>
      <c r="N21" s="23"/>
      <c r="O21" s="2"/>
    </row>
    <row r="22" spans="1:15" ht="42" customHeight="1" x14ac:dyDescent="0.2">
      <c r="A22" s="2"/>
      <c r="B22" s="19"/>
      <c r="C22" s="20" t="s">
        <v>42</v>
      </c>
      <c r="D22" s="88" t="s">
        <v>43</v>
      </c>
      <c r="E22" s="88"/>
      <c r="F22" s="88"/>
      <c r="G22" s="88"/>
      <c r="H22" s="88"/>
      <c r="I22" s="88"/>
      <c r="J22" s="88"/>
      <c r="K22" s="88"/>
      <c r="L22" s="21"/>
      <c r="M22" s="22"/>
      <c r="N22" s="23"/>
      <c r="O22" s="2"/>
    </row>
    <row r="23" spans="1:15" ht="18.75" customHeight="1" x14ac:dyDescent="0.2">
      <c r="A23" s="2"/>
      <c r="B23" s="19"/>
      <c r="C23" s="20"/>
      <c r="D23" s="69"/>
      <c r="E23" s="70" t="s">
        <v>20</v>
      </c>
      <c r="F23" s="106" t="s">
        <v>39</v>
      </c>
      <c r="G23" s="106"/>
      <c r="H23" s="106"/>
      <c r="I23" s="106"/>
      <c r="J23" s="106"/>
      <c r="K23" s="24"/>
      <c r="L23" s="24"/>
      <c r="M23" s="24"/>
      <c r="N23" s="23"/>
      <c r="O23" s="2"/>
    </row>
    <row r="24" spans="1:15" ht="137.25" customHeight="1" x14ac:dyDescent="0.2">
      <c r="A24" s="2"/>
      <c r="B24" s="19"/>
      <c r="C24" s="25" t="s">
        <v>26</v>
      </c>
      <c r="D24" s="65" t="s">
        <v>44</v>
      </c>
      <c r="E24" s="66" t="s">
        <v>45</v>
      </c>
      <c r="F24" s="107" t="s">
        <v>46</v>
      </c>
      <c r="G24" s="107"/>
      <c r="H24" s="107"/>
      <c r="I24" s="107"/>
      <c r="J24" s="107"/>
      <c r="K24" s="94">
        <f>IF(E25="yes", SUM(F25:J25), 0)</f>
        <v>0</v>
      </c>
      <c r="L24" s="94" t="s">
        <v>34</v>
      </c>
      <c r="M24" s="94">
        <v>10</v>
      </c>
      <c r="N24" s="23"/>
      <c r="O24" s="2"/>
    </row>
    <row r="25" spans="1:15" ht="18.75" customHeight="1" x14ac:dyDescent="0.2">
      <c r="A25" s="2"/>
      <c r="B25" s="19"/>
      <c r="C25" s="25"/>
      <c r="D25" s="26" t="s">
        <v>35</v>
      </c>
      <c r="E25" s="27" t="s">
        <v>36</v>
      </c>
      <c r="F25" s="108">
        <v>0</v>
      </c>
      <c r="G25" s="108"/>
      <c r="H25" s="108"/>
      <c r="I25" s="108"/>
      <c r="J25" s="108"/>
      <c r="K25" s="94"/>
      <c r="L25" s="94"/>
      <c r="M25" s="94"/>
      <c r="N25" s="23"/>
      <c r="O25" s="2"/>
    </row>
    <row r="26" spans="1:15" ht="18.75" customHeight="1" x14ac:dyDescent="0.2">
      <c r="A26" s="83"/>
      <c r="B26" s="81"/>
      <c r="C26" s="84"/>
      <c r="D26" s="78" t="s">
        <v>47</v>
      </c>
      <c r="E26" s="101" t="str">
        <f>IF(K24&gt;=(0.55*M24), "PASS", "FAIL")</f>
        <v>FAIL</v>
      </c>
      <c r="F26" s="101"/>
      <c r="G26" s="101"/>
      <c r="H26" s="101"/>
      <c r="I26" s="101"/>
      <c r="J26" s="101"/>
      <c r="K26" s="80"/>
      <c r="L26" s="80"/>
      <c r="M26" s="80"/>
      <c r="N26" s="79"/>
      <c r="O26" s="83"/>
    </row>
    <row r="27" spans="1:15" ht="42" customHeight="1" x14ac:dyDescent="0.2">
      <c r="A27" s="2"/>
      <c r="B27" s="19"/>
      <c r="C27" s="20" t="s">
        <v>48</v>
      </c>
      <c r="D27" s="88" t="s">
        <v>49</v>
      </c>
      <c r="E27" s="88"/>
      <c r="F27" s="88"/>
      <c r="G27" s="88"/>
      <c r="H27" s="88"/>
      <c r="I27" s="88"/>
      <c r="J27" s="88"/>
      <c r="K27" s="88"/>
      <c r="L27" s="21"/>
      <c r="M27" s="22"/>
      <c r="N27" s="23"/>
      <c r="O27" s="2"/>
    </row>
    <row r="28" spans="1:15" ht="18.75" customHeight="1" x14ac:dyDescent="0.2">
      <c r="A28" s="2"/>
      <c r="B28" s="19"/>
      <c r="C28" s="20"/>
      <c r="D28" s="69"/>
      <c r="E28" s="70" t="s">
        <v>20</v>
      </c>
      <c r="F28" s="70" t="s">
        <v>50</v>
      </c>
      <c r="G28" s="106" t="s">
        <v>51</v>
      </c>
      <c r="H28" s="106"/>
      <c r="I28" s="106" t="s">
        <v>23</v>
      </c>
      <c r="J28" s="106"/>
      <c r="K28" s="24"/>
      <c r="L28" s="24"/>
      <c r="M28" s="24"/>
      <c r="N28" s="23"/>
      <c r="O28" s="2"/>
    </row>
    <row r="29" spans="1:15" ht="125.25" customHeight="1" x14ac:dyDescent="0.2">
      <c r="A29" s="2"/>
      <c r="B29" s="19"/>
      <c r="C29" s="25" t="s">
        <v>26</v>
      </c>
      <c r="D29" s="65" t="s">
        <v>52</v>
      </c>
      <c r="E29" s="66" t="s">
        <v>45</v>
      </c>
      <c r="F29" s="82" t="s">
        <v>53</v>
      </c>
      <c r="G29" s="118" t="s">
        <v>54</v>
      </c>
      <c r="H29" s="118"/>
      <c r="I29" s="119" t="s">
        <v>55</v>
      </c>
      <c r="J29" s="119"/>
      <c r="K29" s="94">
        <f>IF(E30="yes",SUM(F30,G30,I30),0)</f>
        <v>0</v>
      </c>
      <c r="L29" s="94" t="s">
        <v>34</v>
      </c>
      <c r="M29" s="94">
        <v>10</v>
      </c>
      <c r="N29" s="23"/>
      <c r="O29" s="2"/>
    </row>
    <row r="30" spans="1:15" ht="18.75" customHeight="1" x14ac:dyDescent="0.2">
      <c r="A30" s="2"/>
      <c r="B30" s="19"/>
      <c r="C30" s="25"/>
      <c r="D30" s="26" t="s">
        <v>35</v>
      </c>
      <c r="E30" s="27" t="s">
        <v>36</v>
      </c>
      <c r="F30" s="64">
        <v>0</v>
      </c>
      <c r="G30" s="108">
        <v>0</v>
      </c>
      <c r="H30" s="108"/>
      <c r="I30" s="108">
        <v>0</v>
      </c>
      <c r="J30" s="108"/>
      <c r="K30" s="94"/>
      <c r="L30" s="94"/>
      <c r="M30" s="94"/>
      <c r="N30" s="23"/>
      <c r="O30" s="2"/>
    </row>
    <row r="31" spans="1:15" ht="42" customHeight="1" x14ac:dyDescent="0.2">
      <c r="A31" s="2"/>
      <c r="B31" s="19"/>
      <c r="C31" s="20" t="s">
        <v>56</v>
      </c>
      <c r="D31" s="88" t="s">
        <v>57</v>
      </c>
      <c r="E31" s="88"/>
      <c r="F31" s="88"/>
      <c r="G31" s="88"/>
      <c r="H31" s="88"/>
      <c r="I31" s="88"/>
      <c r="J31" s="88"/>
      <c r="K31" s="88"/>
      <c r="L31" s="21"/>
      <c r="M31" s="22"/>
      <c r="N31" s="23"/>
      <c r="O31" s="2"/>
    </row>
    <row r="32" spans="1:15" ht="18.75" customHeight="1" x14ac:dyDescent="0.2">
      <c r="A32" s="2"/>
      <c r="B32" s="19"/>
      <c r="C32" s="20"/>
      <c r="D32" s="69"/>
      <c r="E32" s="70" t="s">
        <v>20</v>
      </c>
      <c r="F32" s="106" t="s">
        <v>39</v>
      </c>
      <c r="G32" s="106"/>
      <c r="H32" s="106" t="s">
        <v>58</v>
      </c>
      <c r="I32" s="106"/>
      <c r="J32" s="106"/>
      <c r="K32" s="24"/>
      <c r="L32" s="24"/>
      <c r="M32" s="24"/>
      <c r="N32" s="23"/>
      <c r="O32" s="2"/>
    </row>
    <row r="33" spans="1:17" ht="192" customHeight="1" x14ac:dyDescent="0.2">
      <c r="A33" s="2"/>
      <c r="B33" s="19"/>
      <c r="C33" s="25" t="s">
        <v>26</v>
      </c>
      <c r="D33" s="65" t="s">
        <v>59</v>
      </c>
      <c r="E33" s="66" t="s">
        <v>60</v>
      </c>
      <c r="F33" s="104" t="s">
        <v>61</v>
      </c>
      <c r="G33" s="104"/>
      <c r="H33" s="105" t="s">
        <v>62</v>
      </c>
      <c r="I33" s="105"/>
      <c r="J33" s="105"/>
      <c r="K33" s="94">
        <f>IF(E34="yes", SUM(F34:J34), 0)</f>
        <v>0</v>
      </c>
      <c r="L33" s="94" t="s">
        <v>34</v>
      </c>
      <c r="M33" s="94">
        <v>30</v>
      </c>
      <c r="N33" s="23"/>
      <c r="O33" s="2"/>
    </row>
    <row r="34" spans="1:17" ht="18.75" customHeight="1" x14ac:dyDescent="0.2">
      <c r="A34" s="2"/>
      <c r="B34" s="19"/>
      <c r="C34" s="25"/>
      <c r="D34" s="71" t="s">
        <v>35</v>
      </c>
      <c r="E34" s="72" t="s">
        <v>36</v>
      </c>
      <c r="F34" s="100">
        <v>0</v>
      </c>
      <c r="G34" s="100"/>
      <c r="H34" s="100">
        <v>0</v>
      </c>
      <c r="I34" s="100"/>
      <c r="J34" s="100"/>
      <c r="K34" s="94"/>
      <c r="L34" s="94"/>
      <c r="M34" s="94"/>
      <c r="N34" s="23"/>
      <c r="O34" s="2"/>
    </row>
    <row r="35" spans="1:17" ht="18.75" customHeight="1" x14ac:dyDescent="0.2">
      <c r="A35" s="83"/>
      <c r="B35" s="81"/>
      <c r="C35" s="84"/>
      <c r="D35" s="78" t="s">
        <v>47</v>
      </c>
      <c r="E35" s="101" t="str">
        <f>IF(K33&gt;=(0.55*M33), "PASS", "FAIL")</f>
        <v>FAIL</v>
      </c>
      <c r="F35" s="101"/>
      <c r="G35" s="101"/>
      <c r="H35" s="101"/>
      <c r="I35" s="101"/>
      <c r="J35" s="101"/>
      <c r="K35" s="80"/>
      <c r="L35" s="80"/>
      <c r="M35" s="80"/>
      <c r="N35" s="79"/>
      <c r="O35" s="83"/>
    </row>
    <row r="36" spans="1:17" ht="18.75" customHeight="1" x14ac:dyDescent="0.2">
      <c r="A36" s="2"/>
      <c r="B36" s="19"/>
      <c r="C36" s="20"/>
      <c r="D36" s="69"/>
      <c r="E36" s="70" t="s">
        <v>20</v>
      </c>
      <c r="F36" s="70" t="s">
        <v>63</v>
      </c>
      <c r="G36" s="70" t="s">
        <v>64</v>
      </c>
      <c r="H36" s="70" t="s">
        <v>65</v>
      </c>
      <c r="I36" s="103" t="s">
        <v>66</v>
      </c>
      <c r="J36" s="103"/>
      <c r="K36" s="24"/>
      <c r="L36" s="24"/>
      <c r="M36" s="24"/>
      <c r="N36" s="23"/>
      <c r="O36" s="2"/>
    </row>
    <row r="37" spans="1:17" ht="329.25" customHeight="1" x14ac:dyDescent="0.2">
      <c r="A37" s="2"/>
      <c r="B37" s="19"/>
      <c r="C37" s="25" t="s">
        <v>26</v>
      </c>
      <c r="D37" s="65" t="s">
        <v>67</v>
      </c>
      <c r="E37" s="66" t="s">
        <v>68</v>
      </c>
      <c r="F37" s="67" t="s">
        <v>69</v>
      </c>
      <c r="G37" s="68" t="s">
        <v>70</v>
      </c>
      <c r="H37" s="77" t="s">
        <v>71</v>
      </c>
      <c r="I37" s="102" t="s">
        <v>72</v>
      </c>
      <c r="J37" s="102"/>
      <c r="K37" s="94">
        <f>IF(E38="yes", SUM(F38:J38), 0)</f>
        <v>0</v>
      </c>
      <c r="L37" s="94" t="s">
        <v>34</v>
      </c>
      <c r="M37" s="94">
        <v>30</v>
      </c>
      <c r="N37" s="23"/>
      <c r="O37" s="2"/>
    </row>
    <row r="38" spans="1:17" ht="18.75" customHeight="1" x14ac:dyDescent="0.2">
      <c r="A38" s="2"/>
      <c r="B38" s="19"/>
      <c r="C38" s="25"/>
      <c r="D38" s="71" t="s">
        <v>35</v>
      </c>
      <c r="E38" s="72" t="s">
        <v>36</v>
      </c>
      <c r="F38" s="72">
        <v>0</v>
      </c>
      <c r="G38" s="72">
        <v>0</v>
      </c>
      <c r="H38" s="72">
        <v>0</v>
      </c>
      <c r="I38" s="100">
        <v>0</v>
      </c>
      <c r="J38" s="100"/>
      <c r="K38" s="94"/>
      <c r="L38" s="94"/>
      <c r="M38" s="94"/>
      <c r="N38" s="23"/>
      <c r="O38" s="2"/>
    </row>
    <row r="39" spans="1:17" ht="18.75" customHeight="1" x14ac:dyDescent="0.2">
      <c r="A39" s="83"/>
      <c r="B39" s="81"/>
      <c r="C39" s="84"/>
      <c r="D39" s="78" t="s">
        <v>47</v>
      </c>
      <c r="E39" s="101" t="str">
        <f>IF(K37&gt;=(0.55*M37), "PASS", "FAIL")</f>
        <v>FAIL</v>
      </c>
      <c r="F39" s="101"/>
      <c r="G39" s="101"/>
      <c r="H39" s="101"/>
      <c r="I39" s="101"/>
      <c r="J39" s="101"/>
      <c r="K39" s="80"/>
      <c r="L39" s="80"/>
      <c r="M39" s="80"/>
      <c r="N39" s="79"/>
      <c r="O39" s="83"/>
    </row>
    <row r="40" spans="1:17" ht="18.75" customHeight="1" x14ac:dyDescent="0.2">
      <c r="A40" s="2"/>
      <c r="B40" s="19"/>
      <c r="C40" s="19"/>
      <c r="D40" s="28"/>
      <c r="E40" s="28"/>
      <c r="F40" s="28"/>
      <c r="G40" s="28"/>
      <c r="H40" s="29"/>
      <c r="I40" s="29"/>
      <c r="J40" s="29" t="s">
        <v>73</v>
      </c>
      <c r="K40" s="30">
        <f>SUM(K14:K38)</f>
        <v>0</v>
      </c>
      <c r="L40" s="30" t="s">
        <v>34</v>
      </c>
      <c r="M40" s="30">
        <f>SUM(M14:M38)</f>
        <v>100</v>
      </c>
      <c r="N40" s="23"/>
      <c r="O40" s="2"/>
      <c r="Q40" s="3"/>
    </row>
    <row r="41" spans="1:17" ht="19" x14ac:dyDescent="0.2">
      <c r="A41" s="2"/>
      <c r="B41" s="19"/>
      <c r="C41" s="19"/>
      <c r="D41" s="4"/>
      <c r="E41" s="4"/>
      <c r="F41" s="4"/>
      <c r="G41" s="4"/>
      <c r="H41" s="4"/>
      <c r="I41" s="4"/>
      <c r="J41" s="4"/>
      <c r="K41" s="4"/>
      <c r="L41" s="4"/>
      <c r="M41" s="4"/>
      <c r="N41" s="4"/>
      <c r="O41" s="2"/>
      <c r="P41" s="31"/>
    </row>
    <row r="42" spans="1:17" x14ac:dyDescent="0.2">
      <c r="A42" s="2"/>
      <c r="B42" s="2"/>
      <c r="C42" s="2"/>
      <c r="D42" s="2"/>
      <c r="E42" s="2"/>
      <c r="F42" s="2"/>
      <c r="G42" s="2"/>
      <c r="H42" s="2"/>
      <c r="I42" s="2"/>
      <c r="J42" s="2"/>
      <c r="K42" s="2"/>
      <c r="L42" s="2"/>
      <c r="M42" s="2"/>
      <c r="N42" s="2"/>
      <c r="O42" s="2"/>
    </row>
    <row r="43" spans="1:17" ht="23.25" customHeight="1" x14ac:dyDescent="0.3">
      <c r="A43" s="2"/>
      <c r="B43" s="19"/>
      <c r="C43" s="89" t="s">
        <v>74</v>
      </c>
      <c r="D43" s="89"/>
      <c r="E43" s="89"/>
      <c r="F43" s="32"/>
      <c r="G43" s="32"/>
      <c r="H43" s="32"/>
      <c r="I43" s="32"/>
      <c r="J43" s="32"/>
      <c r="K43" s="32"/>
      <c r="L43" s="32"/>
      <c r="M43" s="33"/>
      <c r="N43" s="23"/>
      <c r="O43" s="2"/>
    </row>
    <row r="44" spans="1:17" ht="18.75" customHeight="1" x14ac:dyDescent="0.2">
      <c r="A44" s="2"/>
      <c r="B44" s="4"/>
      <c r="C44" s="10" t="s">
        <v>75</v>
      </c>
      <c r="D44" s="10" t="s">
        <v>76</v>
      </c>
      <c r="E44" s="93" t="s">
        <v>77</v>
      </c>
      <c r="F44" s="93"/>
      <c r="G44" s="93"/>
      <c r="H44" s="93"/>
      <c r="I44" s="93"/>
      <c r="J44" s="34"/>
      <c r="K44" s="10"/>
      <c r="L44" s="10"/>
      <c r="M44" s="35" t="s">
        <v>78</v>
      </c>
      <c r="N44" s="23"/>
      <c r="O44" s="2"/>
    </row>
    <row r="45" spans="1:17" ht="34.5" customHeight="1" x14ac:dyDescent="0.2">
      <c r="A45" s="2"/>
      <c r="B45" s="19"/>
      <c r="C45" s="36" t="s">
        <v>79</v>
      </c>
      <c r="D45" s="37" t="s">
        <v>80</v>
      </c>
      <c r="E45" s="90" t="s">
        <v>81</v>
      </c>
      <c r="F45" s="90"/>
      <c r="G45" s="90"/>
      <c r="H45" s="90"/>
      <c r="I45" s="90"/>
      <c r="J45" s="90"/>
      <c r="K45" s="90"/>
      <c r="L45" s="37"/>
      <c r="M45" s="38">
        <v>3</v>
      </c>
      <c r="N45" s="23"/>
      <c r="O45" s="2"/>
    </row>
    <row r="46" spans="1:17" ht="34.5" customHeight="1" x14ac:dyDescent="0.2">
      <c r="A46" s="2"/>
      <c r="B46" s="4"/>
      <c r="C46" s="39" t="s">
        <v>79</v>
      </c>
      <c r="D46" s="37" t="s">
        <v>82</v>
      </c>
      <c r="E46" s="90" t="s">
        <v>83</v>
      </c>
      <c r="F46" s="90"/>
      <c r="G46" s="90"/>
      <c r="H46" s="90"/>
      <c r="I46" s="90"/>
      <c r="J46" s="90"/>
      <c r="K46" s="90"/>
      <c r="L46" s="37"/>
      <c r="M46" s="40">
        <v>3</v>
      </c>
      <c r="N46" s="23"/>
      <c r="O46" s="2"/>
    </row>
    <row r="47" spans="1:17" ht="34.5" customHeight="1" x14ac:dyDescent="0.2">
      <c r="A47" s="2"/>
      <c r="B47" s="19"/>
      <c r="C47" s="36" t="s">
        <v>79</v>
      </c>
      <c r="D47" s="37" t="s">
        <v>84</v>
      </c>
      <c r="E47" s="90" t="s">
        <v>85</v>
      </c>
      <c r="F47" s="90"/>
      <c r="G47" s="90"/>
      <c r="H47" s="90"/>
      <c r="I47" s="90"/>
      <c r="J47" s="90"/>
      <c r="K47" s="90"/>
      <c r="L47" s="37"/>
      <c r="M47" s="38">
        <v>3</v>
      </c>
      <c r="N47" s="23"/>
      <c r="O47" s="2"/>
    </row>
    <row r="48" spans="1:17" ht="34.5" customHeight="1" x14ac:dyDescent="0.2">
      <c r="A48" s="2"/>
      <c r="B48" s="4"/>
      <c r="C48" s="41" t="s">
        <v>86</v>
      </c>
      <c r="D48" s="42" t="s">
        <v>87</v>
      </c>
      <c r="E48" s="91" t="s">
        <v>88</v>
      </c>
      <c r="F48" s="91"/>
      <c r="G48" s="91"/>
      <c r="H48" s="91"/>
      <c r="I48" s="91"/>
      <c r="J48" s="91"/>
      <c r="K48" s="91"/>
      <c r="L48" s="42"/>
      <c r="M48" s="43">
        <v>3</v>
      </c>
      <c r="N48" s="23"/>
      <c r="O48" s="2"/>
    </row>
    <row r="49" spans="1:15" ht="34.5" customHeight="1" x14ac:dyDescent="0.2">
      <c r="A49" s="2"/>
      <c r="B49" s="19"/>
      <c r="C49" s="44" t="s">
        <v>86</v>
      </c>
      <c r="D49" s="45" t="s">
        <v>89</v>
      </c>
      <c r="E49" s="92" t="s">
        <v>90</v>
      </c>
      <c r="F49" s="92"/>
      <c r="G49" s="92"/>
      <c r="H49" s="92"/>
      <c r="I49" s="92"/>
      <c r="J49" s="92"/>
      <c r="K49" s="92"/>
      <c r="L49" s="45"/>
      <c r="M49" s="46">
        <v>3</v>
      </c>
      <c r="N49" s="23"/>
      <c r="O49" s="2"/>
    </row>
    <row r="50" spans="1:15" ht="34.5" customHeight="1" x14ac:dyDescent="0.2">
      <c r="A50" s="47"/>
      <c r="B50" s="48"/>
      <c r="C50" s="49" t="s">
        <v>91</v>
      </c>
      <c r="D50" s="42" t="s">
        <v>92</v>
      </c>
      <c r="E50" s="91" t="s">
        <v>93</v>
      </c>
      <c r="F50" s="91"/>
      <c r="G50" s="91"/>
      <c r="H50" s="91"/>
      <c r="I50" s="91"/>
      <c r="J50" s="91"/>
      <c r="K50" s="91"/>
      <c r="L50" s="42"/>
      <c r="M50" s="50">
        <v>3</v>
      </c>
      <c r="N50" s="51"/>
      <c r="O50" s="47"/>
    </row>
    <row r="51" spans="1:15" ht="34.5" customHeight="1" x14ac:dyDescent="0.2">
      <c r="A51" s="2"/>
      <c r="B51" s="4"/>
      <c r="C51" s="52" t="s">
        <v>94</v>
      </c>
      <c r="D51" s="45" t="s">
        <v>95</v>
      </c>
      <c r="E51" s="92" t="s">
        <v>96</v>
      </c>
      <c r="F51" s="92"/>
      <c r="G51" s="92"/>
      <c r="H51" s="92"/>
      <c r="I51" s="92"/>
      <c r="J51" s="92"/>
      <c r="K51" s="92"/>
      <c r="L51" s="45"/>
      <c r="M51" s="53">
        <v>3</v>
      </c>
      <c r="N51" s="23"/>
      <c r="O51" s="2"/>
    </row>
    <row r="52" spans="1:15" ht="34.5" customHeight="1" x14ac:dyDescent="0.2">
      <c r="A52" s="2"/>
      <c r="B52" s="4"/>
      <c r="C52" s="41" t="s">
        <v>97</v>
      </c>
      <c r="D52" s="42" t="s">
        <v>97</v>
      </c>
      <c r="E52" s="91" t="s">
        <v>98</v>
      </c>
      <c r="F52" s="91"/>
      <c r="G52" s="91"/>
      <c r="H52" s="91"/>
      <c r="I52" s="91"/>
      <c r="J52" s="91"/>
      <c r="K52" s="91"/>
      <c r="L52" s="42"/>
      <c r="M52" s="43">
        <v>3</v>
      </c>
      <c r="N52" s="23"/>
      <c r="O52" s="2"/>
    </row>
    <row r="53" spans="1:15" ht="34.5" customHeight="1" x14ac:dyDescent="0.2">
      <c r="A53" s="2"/>
      <c r="B53" s="4"/>
      <c r="C53" s="44" t="s">
        <v>97</v>
      </c>
      <c r="D53" s="45" t="s">
        <v>99</v>
      </c>
      <c r="E53" s="92" t="s">
        <v>100</v>
      </c>
      <c r="F53" s="92"/>
      <c r="G53" s="92"/>
      <c r="H53" s="92"/>
      <c r="I53" s="92"/>
      <c r="J53" s="92"/>
      <c r="K53" s="92"/>
      <c r="L53" s="45"/>
      <c r="M53" s="46">
        <v>3</v>
      </c>
      <c r="N53" s="23"/>
      <c r="O53" s="2"/>
    </row>
    <row r="54" spans="1:15" ht="34.5" customHeight="1" x14ac:dyDescent="0.2">
      <c r="A54" s="54"/>
      <c r="B54" s="55"/>
      <c r="C54" s="49" t="s">
        <v>101</v>
      </c>
      <c r="D54" s="42" t="s">
        <v>102</v>
      </c>
      <c r="E54" s="91" t="s">
        <v>103</v>
      </c>
      <c r="F54" s="91"/>
      <c r="G54" s="91"/>
      <c r="H54" s="91"/>
      <c r="I54" s="91"/>
      <c r="J54" s="91"/>
      <c r="K54" s="91"/>
      <c r="L54" s="42"/>
      <c r="M54" s="50">
        <v>3</v>
      </c>
      <c r="N54" s="56"/>
      <c r="O54" s="54"/>
    </row>
    <row r="55" spans="1:15" ht="34.5" customHeight="1" x14ac:dyDescent="0.2">
      <c r="A55" s="2"/>
      <c r="B55" s="19"/>
      <c r="C55" s="52" t="s">
        <v>101</v>
      </c>
      <c r="D55" s="45" t="s">
        <v>104</v>
      </c>
      <c r="E55" s="92" t="s">
        <v>105</v>
      </c>
      <c r="F55" s="92"/>
      <c r="G55" s="92"/>
      <c r="H55" s="92"/>
      <c r="I55" s="92"/>
      <c r="J55" s="92"/>
      <c r="K55" s="92"/>
      <c r="L55" s="45"/>
      <c r="M55" s="53">
        <v>3</v>
      </c>
      <c r="N55" s="23"/>
      <c r="O55" s="2"/>
    </row>
    <row r="56" spans="1:15" x14ac:dyDescent="0.2">
      <c r="A56" s="2"/>
      <c r="B56" s="4"/>
      <c r="C56" s="4"/>
      <c r="D56" s="32"/>
      <c r="E56" s="32"/>
      <c r="F56" s="32"/>
      <c r="G56" s="32"/>
      <c r="H56" s="32"/>
      <c r="I56" s="32"/>
      <c r="J56" s="32"/>
      <c r="K56" s="32"/>
      <c r="L56" s="32"/>
      <c r="M56" s="32"/>
      <c r="N56" s="32"/>
      <c r="O56" s="2"/>
    </row>
    <row r="57" spans="1:15" x14ac:dyDescent="0.2">
      <c r="A57" s="2"/>
      <c r="B57" s="2"/>
      <c r="C57" s="2"/>
      <c r="D57" s="2"/>
      <c r="E57" s="2"/>
      <c r="F57" s="2"/>
      <c r="G57" s="2"/>
      <c r="H57" s="2"/>
      <c r="I57" s="2"/>
      <c r="J57" s="2"/>
      <c r="K57" s="2"/>
      <c r="L57" s="2"/>
      <c r="M57" s="2"/>
      <c r="N57" s="2"/>
      <c r="O57" s="2"/>
    </row>
    <row r="58" spans="1:15" ht="24" x14ac:dyDescent="0.3">
      <c r="A58" s="2" t="s">
        <v>3</v>
      </c>
      <c r="B58" s="57" t="s">
        <v>3</v>
      </c>
      <c r="C58" s="89" t="s">
        <v>106</v>
      </c>
      <c r="D58" s="89"/>
      <c r="E58" s="89"/>
      <c r="F58" s="58" t="s">
        <v>3</v>
      </c>
      <c r="G58" s="4" t="s">
        <v>3</v>
      </c>
      <c r="H58" s="4" t="s">
        <v>3</v>
      </c>
      <c r="I58" s="4" t="s">
        <v>3</v>
      </c>
      <c r="J58" s="4" t="s">
        <v>3</v>
      </c>
      <c r="K58" s="4" t="s">
        <v>3</v>
      </c>
      <c r="L58" s="4"/>
      <c r="M58" s="4" t="s">
        <v>3</v>
      </c>
      <c r="N58" s="4" t="s">
        <v>3</v>
      </c>
      <c r="O58" s="2" t="s">
        <v>3</v>
      </c>
    </row>
    <row r="59" spans="1:15" ht="15" customHeight="1" x14ac:dyDescent="0.2">
      <c r="A59" s="2" t="s">
        <v>3</v>
      </c>
      <c r="B59" s="57" t="s">
        <v>3</v>
      </c>
      <c r="C59" s="13" t="s">
        <v>107</v>
      </c>
      <c r="D59" s="13" t="s">
        <v>108</v>
      </c>
      <c r="E59" s="97" t="s">
        <v>109</v>
      </c>
      <c r="F59" s="97"/>
      <c r="G59" s="97"/>
      <c r="H59" s="97"/>
      <c r="I59" s="59" t="s">
        <v>110</v>
      </c>
      <c r="J59" s="13"/>
      <c r="K59" s="13"/>
      <c r="L59" s="13"/>
      <c r="M59" s="13"/>
      <c r="N59" s="4" t="s">
        <v>3</v>
      </c>
      <c r="O59" s="2" t="s">
        <v>3</v>
      </c>
    </row>
    <row r="60" spans="1:15" ht="48" customHeight="1" x14ac:dyDescent="0.2">
      <c r="A60" s="2" t="s">
        <v>3</v>
      </c>
      <c r="B60" s="4" t="s">
        <v>3</v>
      </c>
      <c r="C60" s="60">
        <v>1</v>
      </c>
      <c r="D60" s="61" t="s">
        <v>111</v>
      </c>
      <c r="E60" s="95" t="s">
        <v>112</v>
      </c>
      <c r="F60" s="95"/>
      <c r="G60" s="95"/>
      <c r="H60" s="95"/>
      <c r="I60" s="96" t="s">
        <v>113</v>
      </c>
      <c r="J60" s="96"/>
      <c r="K60" s="96"/>
      <c r="L60" s="96"/>
      <c r="M60" s="96"/>
      <c r="N60" s="4" t="s">
        <v>3</v>
      </c>
      <c r="O60" s="2" t="s">
        <v>3</v>
      </c>
    </row>
    <row r="61" spans="1:15" ht="48" customHeight="1" x14ac:dyDescent="0.2">
      <c r="A61" s="2" t="s">
        <v>3</v>
      </c>
      <c r="B61" s="4" t="s">
        <v>3</v>
      </c>
      <c r="C61" s="62">
        <v>2</v>
      </c>
      <c r="D61" s="63" t="s">
        <v>114</v>
      </c>
      <c r="E61" s="98" t="s">
        <v>115</v>
      </c>
      <c r="F61" s="98"/>
      <c r="G61" s="98"/>
      <c r="H61" s="98"/>
      <c r="I61" s="99" t="s">
        <v>116</v>
      </c>
      <c r="J61" s="99"/>
      <c r="K61" s="99"/>
      <c r="L61" s="99"/>
      <c r="M61" s="99"/>
      <c r="N61" s="4" t="s">
        <v>3</v>
      </c>
      <c r="O61" s="2" t="s">
        <v>3</v>
      </c>
    </row>
    <row r="62" spans="1:15" ht="48" customHeight="1" x14ac:dyDescent="0.2">
      <c r="A62" s="2" t="s">
        <v>3</v>
      </c>
      <c r="B62" s="4" t="s">
        <v>3</v>
      </c>
      <c r="C62" s="60">
        <v>3</v>
      </c>
      <c r="D62" s="61" t="s">
        <v>117</v>
      </c>
      <c r="E62" s="95" t="s">
        <v>118</v>
      </c>
      <c r="F62" s="95"/>
      <c r="G62" s="95"/>
      <c r="H62" s="95"/>
      <c r="I62" s="96" t="s">
        <v>119</v>
      </c>
      <c r="J62" s="96"/>
      <c r="K62" s="96"/>
      <c r="L62" s="96"/>
      <c r="M62" s="96"/>
      <c r="N62" s="4" t="s">
        <v>3</v>
      </c>
      <c r="O62" s="2" t="s">
        <v>3</v>
      </c>
    </row>
    <row r="63" spans="1:15" ht="48" customHeight="1" x14ac:dyDescent="0.2">
      <c r="A63" s="2" t="s">
        <v>3</v>
      </c>
      <c r="B63" s="4" t="s">
        <v>3</v>
      </c>
      <c r="C63" s="62">
        <v>4</v>
      </c>
      <c r="D63" s="63" t="s">
        <v>120</v>
      </c>
      <c r="E63" s="98" t="s">
        <v>121</v>
      </c>
      <c r="F63" s="98"/>
      <c r="G63" s="98"/>
      <c r="H63" s="98"/>
      <c r="I63" s="99" t="s">
        <v>122</v>
      </c>
      <c r="J63" s="99"/>
      <c r="K63" s="99"/>
      <c r="L63" s="99"/>
      <c r="M63" s="99"/>
      <c r="N63" s="4" t="s">
        <v>3</v>
      </c>
      <c r="O63" s="2" t="s">
        <v>3</v>
      </c>
    </row>
    <row r="64" spans="1:15" ht="48" customHeight="1" x14ac:dyDescent="0.2">
      <c r="A64" s="2" t="s">
        <v>3</v>
      </c>
      <c r="B64" s="4" t="s">
        <v>3</v>
      </c>
      <c r="C64" s="60">
        <v>5</v>
      </c>
      <c r="D64" s="61" t="s">
        <v>123</v>
      </c>
      <c r="E64" s="95" t="s">
        <v>124</v>
      </c>
      <c r="F64" s="95"/>
      <c r="G64" s="95"/>
      <c r="H64" s="95"/>
      <c r="I64" s="96" t="s">
        <v>125</v>
      </c>
      <c r="J64" s="96"/>
      <c r="K64" s="96"/>
      <c r="L64" s="96"/>
      <c r="M64" s="96"/>
      <c r="N64" s="4" t="s">
        <v>3</v>
      </c>
      <c r="O64" s="2" t="s">
        <v>3</v>
      </c>
    </row>
    <row r="65" spans="1:15" x14ac:dyDescent="0.2">
      <c r="A65" s="2" t="s">
        <v>3</v>
      </c>
      <c r="B65" s="4" t="s">
        <v>3</v>
      </c>
      <c r="C65" s="4" t="s">
        <v>3</v>
      </c>
      <c r="D65" s="4" t="s">
        <v>3</v>
      </c>
      <c r="E65" s="4" t="s">
        <v>3</v>
      </c>
      <c r="F65" s="4" t="s">
        <v>3</v>
      </c>
      <c r="G65" s="4" t="s">
        <v>3</v>
      </c>
      <c r="H65" s="4" t="s">
        <v>3</v>
      </c>
      <c r="I65" s="4" t="s">
        <v>3</v>
      </c>
      <c r="J65" s="4" t="s">
        <v>3</v>
      </c>
      <c r="K65" s="4" t="s">
        <v>3</v>
      </c>
      <c r="L65" s="4"/>
      <c r="M65" s="4" t="s">
        <v>3</v>
      </c>
      <c r="N65" s="4" t="s">
        <v>3</v>
      </c>
      <c r="O65" s="2" t="s">
        <v>3</v>
      </c>
    </row>
    <row r="66" spans="1:15" x14ac:dyDescent="0.2">
      <c r="A66" s="2" t="s">
        <v>3</v>
      </c>
      <c r="B66" s="2" t="s">
        <v>3</v>
      </c>
      <c r="C66" s="2" t="s">
        <v>3</v>
      </c>
      <c r="D66" s="2" t="s">
        <v>3</v>
      </c>
      <c r="E66" s="2" t="s">
        <v>3</v>
      </c>
      <c r="F66" s="2" t="s">
        <v>3</v>
      </c>
      <c r="G66" s="2" t="s">
        <v>3</v>
      </c>
      <c r="H66" s="2" t="s">
        <v>3</v>
      </c>
      <c r="I66" s="2" t="s">
        <v>3</v>
      </c>
      <c r="J66" s="2" t="s">
        <v>3</v>
      </c>
      <c r="K66" s="2" t="s">
        <v>3</v>
      </c>
      <c r="L66" s="2"/>
      <c r="M66" s="2" t="s">
        <v>3</v>
      </c>
      <c r="N66" s="2" t="s">
        <v>3</v>
      </c>
      <c r="O66" s="2" t="s">
        <v>3</v>
      </c>
    </row>
    <row r="74" spans="1:15" ht="15" customHeight="1" x14ac:dyDescent="0.2"/>
  </sheetData>
  <mergeCells count="78">
    <mergeCell ref="L4:M4"/>
    <mergeCell ref="F5:I9"/>
    <mergeCell ref="J5:J9"/>
    <mergeCell ref="G29:H29"/>
    <mergeCell ref="I29:J29"/>
    <mergeCell ref="G28:H28"/>
    <mergeCell ref="I28:J28"/>
    <mergeCell ref="F25:J25"/>
    <mergeCell ref="E26:J26"/>
    <mergeCell ref="G30:H30"/>
    <mergeCell ref="I30:J30"/>
    <mergeCell ref="M20:M21"/>
    <mergeCell ref="K5:K9"/>
    <mergeCell ref="L5:M9"/>
    <mergeCell ref="D14:K14"/>
    <mergeCell ref="K16:K17"/>
    <mergeCell ref="L16:L17"/>
    <mergeCell ref="M16:M17"/>
    <mergeCell ref="D18:K18"/>
    <mergeCell ref="F19:J19"/>
    <mergeCell ref="F20:J20"/>
    <mergeCell ref="F21:J21"/>
    <mergeCell ref="F13:J13"/>
    <mergeCell ref="K20:K21"/>
    <mergeCell ref="L20:L21"/>
    <mergeCell ref="M37:M38"/>
    <mergeCell ref="C43:E43"/>
    <mergeCell ref="M33:M34"/>
    <mergeCell ref="D22:K22"/>
    <mergeCell ref="K24:K25"/>
    <mergeCell ref="L24:L25"/>
    <mergeCell ref="M24:M25"/>
    <mergeCell ref="D27:K27"/>
    <mergeCell ref="K29:K30"/>
    <mergeCell ref="L29:L30"/>
    <mergeCell ref="M29:M30"/>
    <mergeCell ref="F23:J23"/>
    <mergeCell ref="F24:J24"/>
    <mergeCell ref="F32:G32"/>
    <mergeCell ref="H32:J32"/>
    <mergeCell ref="K33:K34"/>
    <mergeCell ref="L37:L38"/>
    <mergeCell ref="I38:J38"/>
    <mergeCell ref="E39:J39"/>
    <mergeCell ref="L33:L34"/>
    <mergeCell ref="F34:G34"/>
    <mergeCell ref="H34:J34"/>
    <mergeCell ref="I37:J37"/>
    <mergeCell ref="I36:J36"/>
    <mergeCell ref="F33:G33"/>
    <mergeCell ref="H33:J33"/>
    <mergeCell ref="E35:J35"/>
    <mergeCell ref="E64:H64"/>
    <mergeCell ref="I64:M64"/>
    <mergeCell ref="E59:H59"/>
    <mergeCell ref="E60:H60"/>
    <mergeCell ref="I60:M60"/>
    <mergeCell ref="E61:H61"/>
    <mergeCell ref="I61:M61"/>
    <mergeCell ref="E62:H62"/>
    <mergeCell ref="I62:M62"/>
    <mergeCell ref="E63:H63"/>
    <mergeCell ref="I63:M63"/>
    <mergeCell ref="D31:K31"/>
    <mergeCell ref="C58:E58"/>
    <mergeCell ref="E45:K45"/>
    <mergeCell ref="E46:K46"/>
    <mergeCell ref="E47:K47"/>
    <mergeCell ref="E48:K48"/>
    <mergeCell ref="E49:K49"/>
    <mergeCell ref="E50:K50"/>
    <mergeCell ref="E51:K51"/>
    <mergeCell ref="E52:K52"/>
    <mergeCell ref="E53:K53"/>
    <mergeCell ref="E54:K54"/>
    <mergeCell ref="E55:K55"/>
    <mergeCell ref="E44:I44"/>
    <mergeCell ref="K37:K38"/>
  </mergeCells>
  <conditionalFormatting sqref="E26:J26">
    <cfRule type="cellIs" dxfId="8" priority="7" operator="equal">
      <formula>"FAIL"</formula>
    </cfRule>
    <cfRule type="cellIs" dxfId="7" priority="8" operator="equal">
      <formula>"PASS"</formula>
    </cfRule>
  </conditionalFormatting>
  <conditionalFormatting sqref="E35:J35">
    <cfRule type="cellIs" dxfId="6" priority="5" operator="equal">
      <formula>"FAIL"</formula>
    </cfRule>
    <cfRule type="cellIs" dxfId="5" priority="6" operator="equal">
      <formula>"PASS"</formula>
    </cfRule>
  </conditionalFormatting>
  <conditionalFormatting sqref="E39:J39">
    <cfRule type="cellIs" dxfId="4" priority="3" operator="equal">
      <formula>"FAIL"</formula>
    </cfRule>
    <cfRule type="cellIs" dxfId="3" priority="4" operator="equal">
      <formula>"PASS"</formula>
    </cfRule>
  </conditionalFormatting>
  <conditionalFormatting sqref="J5:J9">
    <cfRule type="cellIs" dxfId="2" priority="2" operator="equal">
      <formula>"PASS"</formula>
    </cfRule>
  </conditionalFormatting>
  <conditionalFormatting sqref="K40:M40">
    <cfRule type="cellIs" dxfId="1" priority="12" operator="equal">
      <formula>100</formula>
    </cfRule>
  </conditionalFormatting>
  <conditionalFormatting sqref="L5:M9">
    <cfRule type="cellIs" dxfId="0" priority="1" operator="equal">
      <formula>"PASS"</formula>
    </cfRule>
  </conditionalFormatting>
  <dataValidations count="11">
    <dataValidation type="list" allowBlank="1" showInputMessage="1" showErrorMessage="1" sqref="E17 E21 E30 E25" xr:uid="{E260D2EA-C341-435F-8F59-A2632AB04B7F}">
      <formula1>"yes,no"</formula1>
    </dataValidation>
    <dataValidation type="list" allowBlank="1" showInputMessage="1" showErrorMessage="1" sqref="G30" xr:uid="{A3EF71C8-4166-4D38-B340-13DFB0FAE2BC}">
      <formula1>"0,1,2,3"</formula1>
    </dataValidation>
    <dataValidation type="list" allowBlank="1" showInputMessage="1" showErrorMessage="1" sqref="F25:J25 F21:J21 F34:G34" xr:uid="{48D53F83-DBDD-4CB7-AA8C-74BC3BFC8619}">
      <formula1>"0,1,2,3,4,5,6,7,8,9,10"</formula1>
    </dataValidation>
    <dataValidation type="list" allowBlank="1" showInputMessage="1" showErrorMessage="1" sqref="H34:J34" xr:uid="{15BD93C2-9285-4664-BD99-F23415272B63}">
      <formula1>"0,1,2,3,4,5,6,7,8,9,11,12,13,14,15,16,17,18,19,20"</formula1>
    </dataValidation>
    <dataValidation type="list" allowBlank="1" showInputMessage="1" showErrorMessage="1" sqref="I38:J38" xr:uid="{D6F8E8AE-E3A6-433F-B693-A4CBCF4C7CAF}">
      <formula1>"0,1,2,3,4,5,6,7,8,9"</formula1>
    </dataValidation>
    <dataValidation allowBlank="1" showInputMessage="1" showErrorMessage="1" sqref="E26 E35 E39" xr:uid="{3CB0414E-1295-4BCB-AC29-DDAF75342CCF}"/>
    <dataValidation type="list" allowBlank="1" showInputMessage="1" showErrorMessage="1" sqref="F30" xr:uid="{81F31A90-1B6E-4ACA-84F3-6F46C6AFC7AF}">
      <formula1>"0,1,2,3,4,5"</formula1>
    </dataValidation>
    <dataValidation type="list" allowBlank="1" showInputMessage="1" showErrorMessage="1" sqref="F17:J17 I30:J30" xr:uid="{83F4E397-00C7-0A49-9DC3-3602C17F1BF9}">
      <formula1>"0,1,2"</formula1>
    </dataValidation>
    <dataValidation type="list" allowBlank="1" showInputMessage="1" showErrorMessage="1" sqref="F38" xr:uid="{BF165891-7F9D-0344-9106-9F00835D4B17}">
      <formula1>"0,1,2,3,4,5,6"</formula1>
    </dataValidation>
    <dataValidation type="list" allowBlank="1" showInputMessage="1" showErrorMessage="1" sqref="G38" xr:uid="{FE9D0099-A36F-3647-8FB9-E2D8B71D6B52}">
      <formula1>"0,1,2,3,4,5,6,7"</formula1>
    </dataValidation>
    <dataValidation type="list" allowBlank="1" showInputMessage="1" showErrorMessage="1" sqref="H38" xr:uid="{F60C9177-5A81-BA4F-BD73-127436A62BC7}">
      <formula1>"0,1,2,3,4,5,6,7,8"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C955288B1CCD45B3B8B3E26E3F8504" ma:contentTypeVersion="12" ma:contentTypeDescription="Create a new document." ma:contentTypeScope="" ma:versionID="e3af8c66c9ec12f5d29e930db1fbba03">
  <xsd:schema xmlns:xsd="http://www.w3.org/2001/XMLSchema" xmlns:xs="http://www.w3.org/2001/XMLSchema" xmlns:p="http://schemas.microsoft.com/office/2006/metadata/properties" xmlns:ns2="2f31f70d-b701-41ef-9602-8d56003d43d3" xmlns:ns3="615c1a93-3389-4263-a8c8-6d17fdf1e5e7" targetNamespace="http://schemas.microsoft.com/office/2006/metadata/properties" ma:root="true" ma:fieldsID="c2d040d53e723f0e255fcec49615e2ab" ns2:_="" ns3:_="">
    <xsd:import namespace="2f31f70d-b701-41ef-9602-8d56003d43d3"/>
    <xsd:import namespace="615c1a93-3389-4263-a8c8-6d17fdf1e5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31f70d-b701-41ef-9602-8d56003d43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Comment" ma:index="19"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5c1a93-3389-4263-a8c8-6d17fdf1e5e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faaca0c-2062-499b-ab20-93e26f18727a}" ma:internalName="TaxCatchAll" ma:showField="CatchAllData" ma:web="615c1a93-3389-4263-a8c8-6d17fdf1e5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31f70d-b701-41ef-9602-8d56003d43d3">
      <Terms xmlns="http://schemas.microsoft.com/office/infopath/2007/PartnerControls"/>
    </lcf76f155ced4ddcb4097134ff3c332f>
    <TaxCatchAll xmlns="615c1a93-3389-4263-a8c8-6d17fdf1e5e7" xsi:nil="true"/>
    <Comment xmlns="2f31f70d-b701-41ef-9602-8d56003d43d3" xsi:nil="true"/>
  </documentManagement>
</p:properties>
</file>

<file path=customXml/itemProps1.xml><?xml version="1.0" encoding="utf-8"?>
<ds:datastoreItem xmlns:ds="http://schemas.openxmlformats.org/officeDocument/2006/customXml" ds:itemID="{44FF10AE-F077-47D8-9800-955D35B76009}">
  <ds:schemaRefs>
    <ds:schemaRef ds:uri="http://schemas.microsoft.com/sharepoint/v3/contenttype/forms"/>
  </ds:schemaRefs>
</ds:datastoreItem>
</file>

<file path=customXml/itemProps2.xml><?xml version="1.0" encoding="utf-8"?>
<ds:datastoreItem xmlns:ds="http://schemas.openxmlformats.org/officeDocument/2006/customXml" ds:itemID="{98857A67-CDC9-4B3C-AB85-9954EDEA66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31f70d-b701-41ef-9602-8d56003d43d3"/>
    <ds:schemaRef ds:uri="615c1a93-3389-4263-a8c8-6d17fdf1e5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F36F1F-231E-4C70-9638-B9BB082E34B9}">
  <ds:schemaRefs>
    <ds:schemaRef ds:uri="http://schemas.microsoft.com/office/2006/metadata/properties"/>
    <ds:schemaRef ds:uri="http://schemas.microsoft.com/office/infopath/2007/PartnerControls"/>
    <ds:schemaRef ds:uri="2f31f70d-b701-41ef-9602-8d56003d43d3"/>
    <ds:schemaRef ds:uri="615c1a93-3389-4263-a8c8-6d17fdf1e5e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Alican Noyan</cp:lastModifiedBy>
  <cp:revision/>
  <dcterms:created xsi:type="dcterms:W3CDTF">2024-09-16T12:30:14Z</dcterms:created>
  <dcterms:modified xsi:type="dcterms:W3CDTF">2025-11-07T14:06:20Z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0x010100DEC955288B1CCD45B3B8B3E26E3F8504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