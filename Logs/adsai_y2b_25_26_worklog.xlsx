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S:\GitHub\2025-26b-fai2-adsai-MaciejCzerniak243552\Logs\"/>
    </mc:Choice>
  </mc:AlternateContent>
  <xr:revisionPtr revIDLastSave="0" documentId="13_ncr:1_{8429F805-106A-4DC0-86F7-2D73252B5532}" xr6:coauthVersionLast="47" xr6:coauthVersionMax="47" xr10:uidLastSave="{00000000-0000-0000-0000-000000000000}"/>
  <bookViews>
    <workbookView xWindow="-108" yWindow="-108" windowWidth="23256" windowHeight="12456"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'Worklog_Tasks&amp;Times'!$A$1:$K$22</definedName>
    <definedName name="_xlnm.Print_Area" localSheetId="0">'Worklog_Tasks&amp;Times'!$A$1:$K$149</definedName>
    <definedName name="Z_8BAC9A6B_5D32_4E8D_967D_E17D357516F8_.wvu.FilterData" localSheetId="0" hidden="1">'Worklog_Tasks&amp;Times'!$A$1:$K$22</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7" i="1" l="1"/>
  <c r="I223" i="1"/>
  <c r="I222" i="1"/>
  <c r="I221" i="1"/>
  <c r="I220" i="1"/>
  <c r="I219" i="1"/>
  <c r="I218" i="1"/>
  <c r="I217" i="1"/>
  <c r="I216" i="1"/>
  <c r="I215" i="1"/>
  <c r="I214" i="1"/>
  <c r="I213" i="1"/>
  <c r="I212" i="1"/>
  <c r="I211" i="1"/>
  <c r="I210" i="1"/>
  <c r="I209" i="1"/>
  <c r="I208" i="1"/>
  <c r="I207" i="1"/>
  <c r="I206" i="1"/>
  <c r="I205" i="1"/>
  <c r="I204" i="1"/>
  <c r="I203" i="1"/>
  <c r="I202" i="1"/>
  <c r="I201" i="1"/>
  <c r="I180" i="1"/>
  <c r="I179" i="1"/>
  <c r="I178" i="1"/>
  <c r="I177" i="1"/>
  <c r="I176" i="1"/>
  <c r="I175" i="1"/>
  <c r="I174" i="1"/>
  <c r="I173" i="1"/>
  <c r="I172" i="1"/>
  <c r="I171" i="1"/>
  <c r="I170" i="1"/>
  <c r="I169" i="1"/>
  <c r="I168" i="1"/>
  <c r="I167" i="1"/>
  <c r="I166" i="1"/>
  <c r="I165" i="1"/>
  <c r="I164" i="1"/>
  <c r="I163" i="1"/>
  <c r="I162" i="1"/>
  <c r="I161" i="1"/>
  <c r="I160" i="1"/>
  <c r="I159" i="1"/>
  <c r="I158" i="1"/>
  <c r="I135" i="1"/>
  <c r="I134" i="1"/>
  <c r="I133" i="1"/>
  <c r="I132" i="1"/>
  <c r="I131" i="1"/>
  <c r="I130" i="1"/>
  <c r="I129" i="1"/>
  <c r="I128" i="1"/>
  <c r="I127" i="1"/>
  <c r="I126" i="1"/>
  <c r="I125" i="1"/>
  <c r="I124" i="1"/>
  <c r="I123" i="1"/>
  <c r="I122" i="1"/>
  <c r="I121" i="1"/>
  <c r="I120" i="1"/>
  <c r="I119" i="1"/>
  <c r="I118" i="1"/>
  <c r="I117" i="1"/>
  <c r="I116" i="1"/>
  <c r="I108" i="1"/>
  <c r="H240" i="1"/>
  <c r="G240" i="1"/>
  <c r="I239" i="1"/>
  <c r="I238" i="1"/>
  <c r="I237" i="1"/>
  <c r="I236" i="1"/>
  <c r="I235" i="1"/>
  <c r="I234" i="1"/>
  <c r="I233" i="1"/>
  <c r="I232" i="1"/>
  <c r="I231" i="1"/>
  <c r="I230" i="1"/>
  <c r="I229" i="1"/>
  <c r="I228" i="1"/>
  <c r="I227" i="1"/>
  <c r="I226" i="1"/>
  <c r="I225" i="1"/>
  <c r="I224" i="1"/>
  <c r="I200" i="1"/>
  <c r="I199" i="1"/>
  <c r="I86" i="1"/>
  <c r="I70" i="1"/>
  <c r="H66" i="1"/>
  <c r="I53" i="1"/>
  <c r="I50" i="1"/>
  <c r="G66" i="1"/>
  <c r="I65" i="1"/>
  <c r="I64" i="1"/>
  <c r="I63" i="1"/>
  <c r="I62" i="1"/>
  <c r="G41" i="1"/>
  <c r="H41" i="1"/>
  <c r="I40" i="1"/>
  <c r="I34" i="1"/>
  <c r="I21" i="1"/>
  <c r="I15" i="1"/>
  <c r="I16" i="1"/>
  <c r="I17" i="1"/>
  <c r="I18" i="1"/>
  <c r="I19" i="1"/>
  <c r="I20" i="1"/>
  <c r="I8" i="1"/>
  <c r="I192" i="1"/>
  <c r="I191" i="1"/>
  <c r="I190" i="1"/>
  <c r="I189" i="1"/>
  <c r="I188" i="1"/>
  <c r="I187" i="1"/>
  <c r="I186" i="1"/>
  <c r="I185" i="1"/>
  <c r="I147" i="1"/>
  <c r="I146" i="1"/>
  <c r="I145" i="1"/>
  <c r="I144" i="1"/>
  <c r="I143" i="1"/>
  <c r="I142" i="1"/>
  <c r="I141" i="1"/>
  <c r="I107" i="1"/>
  <c r="I106" i="1"/>
  <c r="I105" i="1"/>
  <c r="I104" i="1"/>
  <c r="I103" i="1"/>
  <c r="I102" i="1"/>
  <c r="I101" i="1"/>
  <c r="I100" i="1"/>
  <c r="I85" i="1"/>
  <c r="I84" i="1"/>
  <c r="I83" i="1"/>
  <c r="I82" i="1"/>
  <c r="I81" i="1"/>
  <c r="I80" i="1"/>
  <c r="I79" i="1"/>
  <c r="I78" i="1"/>
  <c r="I61" i="1"/>
  <c r="I60" i="1"/>
  <c r="I59" i="1"/>
  <c r="I57" i="1"/>
  <c r="I56" i="1"/>
  <c r="I39" i="1"/>
  <c r="I38" i="1"/>
  <c r="I37" i="1"/>
  <c r="I35" i="1"/>
  <c r="I36" i="1"/>
  <c r="I14" i="1"/>
  <c r="I13" i="1"/>
  <c r="I12" i="1"/>
  <c r="D4" i="2"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195" i="1"/>
  <c r="G195" i="1"/>
  <c r="I194" i="1"/>
  <c r="I193" i="1"/>
  <c r="I184" i="1"/>
  <c r="I183" i="1"/>
  <c r="I182" i="1"/>
  <c r="I181" i="1"/>
  <c r="I157" i="1"/>
  <c r="I156" i="1"/>
  <c r="I155" i="1"/>
  <c r="I154" i="1"/>
  <c r="H150" i="1"/>
  <c r="G150" i="1"/>
  <c r="B9" i="2"/>
  <c r="B8" i="2"/>
  <c r="B11" i="2"/>
  <c r="B10" i="2"/>
  <c r="K11" i="2"/>
  <c r="I240" i="1" l="1"/>
  <c r="I195" i="1"/>
  <c r="K8" i="2"/>
  <c r="K10" i="2"/>
  <c r="E12" i="2"/>
  <c r="D12" i="2"/>
  <c r="I150" i="1"/>
  <c r="J12" i="2"/>
  <c r="I12" i="2"/>
  <c r="H12" i="2"/>
  <c r="G12" i="2"/>
  <c r="F12" i="2"/>
  <c r="K9" i="2"/>
  <c r="K7" i="2"/>
  <c r="B7" i="2"/>
  <c r="K6" i="2"/>
  <c r="B6" i="2"/>
  <c r="K5" i="2"/>
  <c r="B5" i="2"/>
  <c r="C12" i="2"/>
  <c r="B4" i="2"/>
  <c r="K3" i="2"/>
  <c r="B3" i="2"/>
  <c r="I149" i="1"/>
  <c r="I148" i="1"/>
  <c r="I140" i="1"/>
  <c r="I139" i="1"/>
  <c r="I138" i="1"/>
  <c r="I137" i="1"/>
  <c r="I136" i="1"/>
  <c r="I115" i="1"/>
  <c r="I114" i="1"/>
  <c r="I113" i="1"/>
  <c r="H109" i="1"/>
  <c r="G109" i="1"/>
  <c r="I99" i="1"/>
  <c r="I98" i="1"/>
  <c r="I97" i="1"/>
  <c r="I96" i="1"/>
  <c r="I95" i="1"/>
  <c r="I94" i="1"/>
  <c r="I93" i="1"/>
  <c r="I92" i="1"/>
  <c r="H88" i="1"/>
  <c r="G88" i="1"/>
  <c r="I77" i="1"/>
  <c r="I76" i="1"/>
  <c r="I75" i="1"/>
  <c r="I74" i="1"/>
  <c r="I73" i="1"/>
  <c r="I72" i="1"/>
  <c r="I71" i="1"/>
  <c r="I55" i="1"/>
  <c r="I54" i="1"/>
  <c r="I52" i="1"/>
  <c r="I51" i="1"/>
  <c r="I49" i="1"/>
  <c r="I48" i="1"/>
  <c r="I47" i="1"/>
  <c r="I46" i="1"/>
  <c r="I45" i="1"/>
  <c r="I33" i="1"/>
  <c r="I32" i="1"/>
  <c r="I31" i="1"/>
  <c r="I30" i="1"/>
  <c r="I28" i="1"/>
  <c r="I27" i="1"/>
  <c r="I26" i="1"/>
  <c r="H22" i="1"/>
  <c r="G22" i="1"/>
  <c r="I11" i="1"/>
  <c r="I10" i="1"/>
  <c r="I9" i="1"/>
  <c r="I7" i="1"/>
  <c r="I6" i="1"/>
  <c r="I5" i="1"/>
  <c r="I88" i="1" l="1"/>
  <c r="I22" i="1"/>
  <c r="K4" i="2"/>
  <c r="I41" i="1"/>
  <c r="I66" i="1"/>
  <c r="I109"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<sst xmlns="http://schemas.openxmlformats.org/spreadsheetml/2006/main" count="770" uniqueCount="202">
  <si>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</si>
  <si>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</si>
  <si>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</si>
  <si>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</si>
  <si>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</si>
  <si>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</si>
  <si>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</si>
  <si>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</si>
  <si>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</si>
  <si>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</si>
  <si>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</si>
  <si>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</si>
  <si>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</si>
  <si>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</si>
  <si>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</si>
  <si>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</si>
  <si>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Max 4 hours tasks</t>
  </si>
  <si>
    <t>Total Hours</t>
  </si>
  <si>
    <t>Week 2</t>
  </si>
  <si>
    <t>[Enter known possible issues that are a risk for you to finish the high level week planning] - if any</t>
  </si>
  <si>
    <t>Week 3</t>
  </si>
  <si>
    <t xml:space="preserve">Week 5 </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</si>
  <si>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</si>
  <si>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</si>
  <si>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</si>
  <si>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</si>
  <si>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</si>
  <si>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</si>
  <si>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</si>
  <si>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</si>
  <si>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</si>
  <si>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</si>
  <si>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</si>
  <si>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</si>
  <si>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</si>
  <si>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</si>
  <si>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</si>
  <si>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</si>
  <si>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</si>
  <si>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</si>
  <si>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</si>
  <si>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</si>
  <si>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</si>
  <si>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</si>
  <si>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</si>
  <si>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</si>
  <si>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</si>
  <si>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</si>
  <si>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</si>
  <si>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</si>
  <si>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</si>
  <si>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</si>
  <si>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</si>
  <si>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</si>
  <si>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</si>
  <si>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</si>
  <si>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</si>
  <si>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</si>
  <si>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</si>
  <si>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</si>
  <si>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</si>
  <si>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</si>
  <si>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</si>
  <si>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</si>
  <si>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</si>
  <si>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</si>
  <si>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</si>
  <si>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Kick-Off</t>
  </si>
  <si>
    <t>We started the block as always - from kick-off. Last two weeks I was waiting for it and finally I got it. I'm even more excited about computer vision than before.</t>
  </si>
  <si>
    <t>Task 1</t>
  </si>
  <si>
    <t>Image Annotation and Review</t>
  </si>
  <si>
    <t>Next, We had first stand-up with our mentor. My mentor is Alican. I like his approach, he is straight forward and has clear expectations.</t>
  </si>
  <si>
    <t>The only risk that I know about is my dyslexia which can force me to spend more time on reading tasks or can cause troubles during the final presentation.</t>
  </si>
  <si>
    <t>Worklog</t>
  </si>
  <si>
    <t>ILO 2.6</t>
  </si>
  <si>
    <t>Stand-up</t>
  </si>
  <si>
    <t>ILO 6.4</t>
  </si>
  <si>
    <t>Places and Flows Lab</t>
  </si>
  <si>
    <t>Work</t>
  </si>
  <si>
    <t>I work longer on that day since the next day was workshop day and we had a problem with the sensor. I had meeting with people form North Carolina University responsible for the software. Unfortunatelly we didn't fix it at the end. The idea of the workshop evolved afterwards.</t>
  </si>
  <si>
    <t>Workshop in Den Haag</t>
  </si>
  <si>
    <t>The workshop went well. I had an opportunity to refine my presentation skills. It is very important for me to do those types of activity since I usually struggle with presenting. Moreover I had an opportunity to meet world wide known reaserchers from the field of leasurie studies and more.</t>
  </si>
  <si>
    <t>Book</t>
  </si>
  <si>
    <t>Ch1 Introduction</t>
  </si>
  <si>
    <t>Ch2 Digital Image Fundamentals</t>
  </si>
  <si>
    <t>I finished the chapter. Overall, I started reading book before the block began. This approach was motivated by my awareness of having dyslexia, however, my excitement for computer vision also played a major role in my decision to begin early.</t>
  </si>
  <si>
    <t>Week 1 notebooks</t>
  </si>
  <si>
    <t>I started working on nootebooks assigned for week 1. I did something on Monday but I didn't noted it in worklog.</t>
  </si>
  <si>
    <t>The time spent on reading is underestimated since it is hard to track for me. I don't pay attention when I started reading.</t>
  </si>
  <si>
    <t>Tangible Landscape</t>
  </si>
  <si>
    <t>Image Annotation</t>
  </si>
  <si>
    <t>Task_1</t>
  </si>
  <si>
    <t>Self-study</t>
  </si>
  <si>
    <t>Today I started first task which is image annotation. and the main challenge was correctly distinguishing the four classes: root, seed, shoot, and background. At first, I assumed it would be easy to label them based on color and shape differences, but in practice the boundaries were not as clear as expected. The root and shoot often blend into each other, and the seed sometimes has similar tones to the background depending on the lighting. I need to be cautious and if I am not sure whether a given mask is correct, I should consult it with a mentor.  This block promises to be challenging .</t>
  </si>
  <si>
    <t>This week, I focused primarily on reading the assigned chapter, materials dedicated to that week, and starting the Week 1 notebooks. I realised early on that reading takes me longer than average due to dyslexia, so I made the strategic decision to begin the chapter before the block officially started. This helped me reduce pressure during the week and gave me more time to absorb the material. Reflecting on this decision, I can see that early preparation is an effective approach for tasks that require sustained concentration.</t>
  </si>
  <si>
    <t>With small delay I'm finished all notebooks</t>
  </si>
  <si>
    <t>Feedback</t>
  </si>
  <si>
    <t>Feedback session</t>
  </si>
  <si>
    <t>Peer Review Annotation</t>
  </si>
  <si>
    <t>The day started with QGIS training. Afterwards I started working on femto bolt sensor integration to our environment.</t>
  </si>
  <si>
    <t>The task is mostly done. I need to add last images to the file and describe it. Also I plan to verify the the final version with my mentor.</t>
  </si>
  <si>
    <t>Week 2 notebooks</t>
  </si>
  <si>
    <t>I started working on notebooks from second week. However, It was ineffective. I had problem with focus and I decided to end working day afterwards.</t>
  </si>
  <si>
    <t>Today’s feedback session went well and gave me much more clarity about what is expected for ILO 2.6. Before the meeting, I felt uncertain about how to formulate reflections in a way that demonstrates critical thinking. During the session, I realised that I need to be more explicit in analysing my decisions, identifying challenges, and explaining how I plan to improve my workflow based on what I learn each week.
I also noted that I am slightly behind with the notebooks, but I expect to complete the remaining one from last week today.
Next steps:
- Apply the feedback from today by making my reflections more analytical and structured.
- Finish the remaining notebook and review what caused the delay.
- Use future feedback sessions to verify whether my reflections are improving in depth and clarity.</t>
  </si>
  <si>
    <t>Task 2</t>
  </si>
  <si>
    <t>Petri Dish Detection and Extraction</t>
  </si>
  <si>
    <t>Task 2 is about extracting AOI from an image to decrease computation time. I was struggle with the logic of this task at very begining but I checked notebooks and that helped a lot. I'm on the right track.</t>
  </si>
  <si>
    <t>I found in Open CV documentation "connectedComponentsWithStats" function which which turned out to be the solution for the logic of my code. On practice purpose I wrapped the code in handy functions.</t>
  </si>
  <si>
    <t>task_2.ipynb</t>
  </si>
  <si>
    <t>1. Basics.ipynb</t>
  </si>
  <si>
    <t>2. Thresholding and Filtering.ipynb</t>
  </si>
  <si>
    <t>3. Morphological Operations.ipynb</t>
  </si>
  <si>
    <t>6. Object Detection with DL.ipynb</t>
  </si>
  <si>
    <t>5. Image Segmentation.ipynb</t>
  </si>
  <si>
    <t xml:space="preserve">Task 3 </t>
  </si>
  <si>
    <t>Plant Instance Segmentation</t>
  </si>
  <si>
    <t>The task is finished. Now I need to clean the code.</t>
  </si>
  <si>
    <t>Task_3.ipynb</t>
  </si>
  <si>
    <t>I'm in a half way of notebooks for week 2. Small delay in that area but it doesn't have impact on my work flow yet.</t>
  </si>
  <si>
    <t>Final Annotation</t>
  </si>
  <si>
    <t>Today we got peer review adnotations. I can't agree with some of them. I already discussed it with mentor and I'm right about seeds - there are no seeds on my image. During Task 1 review with mentor I got know that I overlabeled the image - mainly roots. It will take a while until I fix it but I believe I finish it before the deadline.</t>
  </si>
  <si>
    <t>Task 4</t>
  </si>
  <si>
    <t>Dataset Preparation for Model Training</t>
  </si>
  <si>
    <t>ILO 8.5</t>
  </si>
  <si>
    <t>I started working on task 4 but I have to admit that I need to finish week 2 notebooks to make it easier for me. I was struggle to get images from multple subdirectories, especially when they have different structure.</t>
  </si>
  <si>
    <t>Travel</t>
  </si>
  <si>
    <t>On that day I was traveling from Netherlands to Poland because our family have earlier chistmas. This is the only oportunity to meet all of them. I didn't see them for a 1,5 year. I informed my mentor beforehand. I'm planing to study over there and work on the project.</t>
  </si>
  <si>
    <t>The addnotation is keep being better. I'm going to finish it tomorrow and submit.</t>
  </si>
  <si>
    <t>Reflection</t>
  </si>
  <si>
    <t>This part of the week pushed me to reflect more deeply on how I handle feedback, unexpected confusion, and dependencies between tasks. I made good progress on the Week 2 notebooks, even though I am slightly behind. At this point, the delay doesn’t affect my workflow, but it made me aware that I need to monitor how these small delays accumulate over time.
While starting Task 4 (dataset preparation), I struggled with retrieving images from multiple subdirectories, particularly because the folder structures were inconsistent. Reflecting on this difficulty, I understood that working on Week 2 notebooks first would give me a clearer foundation and probably make Task 4 more manageable. This helped me see how important it is to respect the intended order of tasks, especially when they build on each other.
The peer-reviewed annotations for Task 1 were a particularly valuable moment for critical thinking. Some of the comments suggested the presence of seeds in my image, but based on my own analysis, there are no seeds in that sample. I discussed this with my mentor, and the feedback confirmed that my interpretation was correct. This reinforced the importance of not accepting peer suggestions blindly and instead evaluating them carefully using my own understanding and evidence.
Next Steps:
- Revisit the annotations and correct the overlabelled regions with more attention to consistency.
- Continue Week 2 notebooks before returning fully to Task 4 to avoid unnecessary confusion.
- Approach peer feedback analytically, confirming suggestions with evidence rather than assuming they are correct.
- Monitor small delays earlier so they do not accumulate into larger workflow issues.</t>
  </si>
  <si>
    <t>This part of the week gave me several opportunities to reflect on how I approach tasks and how I react when things do not go as expected. After work I continued working I continued working on Task 1 Part 2. The technical part of the task progressed well, I reached the final steps - adding the remaining images and writing the description.
Afterwards I switched to notebooks from week 2 of the block. However, I struggled to stay focused, and my work became increasingly ineffective. Instead of pushing through without understanding why, I paused and evaluated the situation. I was mentally tired from switching between training, technical tasks, and notebooks. This made me realise that my productivity drops significantly when I try to handle too many different cognitive tasks in one day.
Next steps:
- Avoid switching between multiple complex tasks in the same day unless needed.
- Start the Week 2 notebooks again when rested to maintain higher quality of work.
- Pay closer attention to when my concentration drops and adjust my workflow accordingly.</t>
  </si>
  <si>
    <t xml:space="preserve">Finally I finished notebooks planed for week 2 and I have some idea what can I do in task 4. </t>
  </si>
  <si>
    <t>I incorporate the approach form notebook 7 from week 2. It looks good so far, however I do not know why the code generate empty variable instead.</t>
  </si>
  <si>
    <t>After long debugging I realise that the differences in structures of datasets made that problem. Moreover I worked on the part of the code which generate datase for the model instead dividing it in patches and safe it in well structured folder as it is shown in Task 4 on github pages. However, I don't think that is a waste of time. First, I've lernt something, second, The logic of the code can be reused in the script where I will divide it into patches and the safe in folders as it is shown in Task 4. I want also incorporate my extraction_dish function in the process since it will reduce ammount of the computation during model training.</t>
  </si>
  <si>
    <t>I finished the function and I run it. I spent some time on testing what size of pathes would be fit the best. I generated only train set part for now, since I want to avoid unnecessary computation. Tomorrow I will display it and check if all patches are correct with their masks. That was a long day, however I have good environment to study - here is quiet and nobody is disrupting me.</t>
  </si>
  <si>
    <t>8. Multiclass Image Segmentation with DL.ipynb</t>
  </si>
  <si>
    <t>7. Image segmentation with DL.ipynb</t>
  </si>
  <si>
    <t>Task 1 part 2</t>
  </si>
  <si>
    <t>Task_4.ipynb</t>
  </si>
  <si>
    <t>This part of the week gave me several moments to reflect on how I handle interruptions, debugging challenges, and task dependencies. I travelled from the Netherlands to Poland for an early family Christmas, and although this disrupted my usual routine, I had informed my mentor beforehand and planned to continue studying while there. This made me think about how important it is to communicate early when personal circumstances temporarily affect availability and to plan proactively around them.
Finishing the Week 2 notebooks was another important step. Completing them gave me a clearer understanding of the methods needed for Task 4, and I could immediately apply some of the ideas from notebook 7. However, when I tried to generate variables for the dataset, the code unexpectedly produced empty outputs. Instead of assuming the code was incorrect, I examined the structure of my dataset more closely and realised that inconsistent folder structures were the real source of the issue.
My work on Task 1 continued progressing, and the annotations are improving with each iteration. I expect to finish and submit them tomorrow. Seeing slow but steady improvement helped me realise that consistent refinement is more valuable than trying to rush the task, especially when accuracy directly affects model performance.
I finished implementing the patch generation function and spent time testing different patch sizes to find the most suitable one. To avoid unnecessary computation, I only generated the training patches for now and plan to inspect them tomorrow to confirm that the masks align correctly. Yesterday was a long day, but working in a quiet space helped me stay focused, and I realised that the environment plays an important role in my productivity.
Next Steps:
- Finalise and submit Task 1 annotations tomorrow.
- Visualise the generated patches and verify mask correctness before producing validation and test sets.
- Integrate the extraction_dish function into the patch-generation pipeline to optimise computation.
- Check dataset structure earlier in future tasks to avoid preventable debugging.
- Continue planning proactively during travel periods to maintain stable progress.</t>
  </si>
  <si>
    <t>I did sanity check and everything seems to be alright.</t>
  </si>
  <si>
    <t>Task 5</t>
  </si>
  <si>
    <t>Week 3 notebooks</t>
  </si>
  <si>
    <t>I started task 5. I'm going to work on single class model to verify if this type of model is enough.</t>
  </si>
  <si>
    <t>The model doesn't seems to be feasible for this task. At least after "base" U-net model. F1 is not even 0.50. I need to test other patch sizes. I also found dice loss which is usually used in medicine. I think it might be useful for this task, however I verify it in next iterations.</t>
  </si>
  <si>
    <t>Model Training</t>
  </si>
  <si>
    <t>I encounter a problem with data generator and I don't know how to fix it. I try to have an access to amount of image-mask pairs to verify if everything works well.</t>
  </si>
  <si>
    <t>Everything seems to be good. The training is running but it goes slow. It is time to use server.</t>
  </si>
  <si>
    <t>I tried to use the server but my data generators don't want to work. I tried to overcome it somehow but I wasn't able. I decided to switch back to my local station.</t>
  </si>
  <si>
    <t>From my observations it appears that model training is so unefficient localy. I need to switch to GPU and setup CUDA.</t>
  </si>
  <si>
    <t>I struggle to setup the right CUDA on my laptop. Somehow in terminal I see that is compatibile with CUDA 13. However, on Nvidia webpage last working integration for RTX 3060 is 11.2.</t>
  </si>
  <si>
    <t>Upgrade</t>
  </si>
  <si>
    <t>CUDA</t>
  </si>
  <si>
    <t>cuDNN</t>
  </si>
  <si>
    <t>I solved the issue with CUDA and now it works. I found additional cuDNN and I implemnted it to CUDA. cuDNN accelerates widely used deep learning frameworks, including PyTorch, JAX, Caffe2, Chainer, Keras, MATLAB, MxNet, PaddlePaddle, and TensorFlow.</t>
  </si>
  <si>
    <t>After improvements mentioned above the training took only a 100 minutes. Resulst are too good to be true. My multiclass baseline has overall 99% F1 score. Now I'm going to evaluate the model to get into result for each class.</t>
  </si>
  <si>
    <t xml:space="preserve">It is harder than I thought. Apparently I'm not able to get predictions for all images at the same time since the number of validate dataset images is to big to predict all at once. Even if I overcome that issue at some point and I did predictions only on around a 100 images then I startet struggle to get all metrics that I want for all classes. </t>
  </si>
  <si>
    <t xml:space="preserve">I solved a problem with metrics and root class has 80-85% F1 score which is more than I expected. I proceed to inference template and the quality of predictions are really good but with small noices. I want to go stright to the end of the process to have some 'skeleton' finished for the project to be able to iterate whole pipline. It is also recommended by the mentor to go to the end and iterate whole pipline. </t>
  </si>
  <si>
    <t>Task 6</t>
  </si>
  <si>
    <t>Individual Root Segmentation</t>
  </si>
  <si>
    <t>I'm not able to use the approach showed in self study materials and I don't know why.</t>
  </si>
  <si>
    <t>I realized that I can't get probability from my model and that's why I can't use Selective Search. I need different approach.</t>
  </si>
  <si>
    <t xml:space="preserve">Week 4 </t>
  </si>
  <si>
    <t>Week 6</t>
  </si>
  <si>
    <t>Task 9</t>
  </si>
  <si>
    <t>Robotics Environment Interaction</t>
  </si>
  <si>
    <t>ILO 8.6</t>
  </si>
  <si>
    <t>Since I don't have idea how I can solve the problem with taks 6 I switched to robotic part</t>
  </si>
  <si>
    <t>This week required a lot of critical evaluation of my technical assumptions, especially regarding the environment setup and the interpretation of model results. I initially struggled to configure CUDA correctly on my laptop.
Resolving this issue helped me understand how fragile deep learning environments can be and how important it is to align hardware, drivers, and libraries correctly.
After fixing the CUDA issue and integrating cuDNN, I observed a significant improvement in training speed. This reinforced the importance of optimising the environment before evaluating model performance. When I trained the multiclass baseline model, the initial results appeared unusually strong, with an overall F1 score of 99%. Instead of accepting these results at face value, I critically questioned their validity and decided to perform a more detailed evaluation per class.
During the evaluation phase, I encountered limitations related to memory and dataset size, which prevented me from generating predictions for all validation images at once. This challenged my assumption that evaluation would be a straightforward extension of training. I had to rethink how to compute metrics incrementally and selectively. Once resolved, I discovered that the root class achieved an F1 score of around 80–85%, which was more realistic and informative than the aggregated metric. This experience highlighted how misleading global metrics can be and why class-wise evaluation is essential.
Next Steps:
- Validate model performance using class-wise metrics rather than relying on overall scores.
- Adapt the individual root segmentation approach to methods compatible with non-probabilistic outputs.
- Continue iterating on the full pipeline now that an end-to-end structure is in place.</t>
  </si>
  <si>
    <t>I started working on approach where  I use first morphology (open/close) then connectedComponentsWithStats. This approach gave me solid base after 2 iterations. However, I still don't get the right detection since the one of the plants is small and choosing the biggest blob not solving the situation.</t>
  </si>
  <si>
    <t>After many attempts in iteration 2 and 3 I decided to involve whole mask instead of root mask. It conected most of disconected roots and blobs. In 4th iterration after dilate -&gt; erode -&gt; connectedComponentsWithStats -&gt; sort results and picking 4 biggest blobs I got satisfying result. I proceeded to Kaggle dataset to do the same task, predicting masks beforhand.</t>
  </si>
  <si>
    <t>Segmented roots system are not the best due to noise produced during prediction. However it is strong base for the next task.</t>
  </si>
  <si>
    <t>Task 7</t>
  </si>
  <si>
    <t>Root System Architecture (RSA) Extraction</t>
  </si>
  <si>
    <t>Following w3 notebooks I played with skeletonize and other useful functions. However, my approach was taking the highest point of each root system mask what gave me strange results such as huge root system had 25 px length.I did first submission with this approach and it seems to work surprisingly well. It gave me public score 35,985 which placed me on 20th place at that moment.</t>
  </si>
  <si>
    <t xml:space="preserve">I did severall improvments but it didin't gave me significantly higher score. Afterwards, I focused on the problem with picking the highest point. With 3rd iteration I switched form "dijkstra_path_length" to "single_source_dijkstra_path_length" which is huge step in the right direction. After this iteration I got score 3.294 and I moved to 2nd place. There still room for improvement since in task 6 </t>
  </si>
  <si>
    <t>This part of the week required continuous re-evaluation of my problem-solving strategy, especially when my initial assumptions did not lead to acceptable results. When I reached a temporary dead end with Task 6, I decided to shift my focus to Task 9 to maintain momentum. This decision helped me stay productive while giving myself time to reconsider the segmentation problem from a different perspective instead of forcing an ineffective approach.
Returning to Task 6, I experimented with a morphology-based pipeline using open/close operations followed by connectedComponentsWithStats. After a couple of iterations, this approach provided a reasonable baseline. However, I identified a critical flaw: selecting the largest blob did not work when one of the plants was significantly smaller. This challenged my assumption that size alone could be used as a reliable selection criterion.
Through further iterations, I decided to involve the entire predicted mask instead of isolating only the root mask. This change helped reconnect fragmented roots and reduce the number of disconnected components. In the fourth iteration, combining dilation, erosion, connected component analysis, sorting results, and selecting the four largest blobs produced a much more reliable outcome. Applying the same logic to the Kaggle dataset further confirmed that the approach was robust, even though prediction noise still affected segmentation quality. Despite this, I recognised that the result is a strong foundation for subsequent tasks rather than a final solution.</t>
  </si>
  <si>
    <t>In Task 7, I explored different strategies for root system architecture extraction using skeletonization and related functions. My initial approach - using the highest point of each root system mask - produced unintuitive results, such as unrealistically short root lengths. Nevertheless, I submitted this version to establish a baseline, which surprisingly achieved a competitive public score.
Subsequent improvements initially yielded limited gains, prompting a deeper examination of the core assumption behind the path-length calculation. In the third iteration, switching from dijkstra_path_length to single_source_dijkstra_path_length significantly improved the results and led to a substantial jump in ranking.
Next Steps:
- Reduce noise propagation from Task 6 and the model to improve downstream RSA extraction.
- Refine blob selection criteria to better handle varying plant sizes.
- Continue iterating on Task 7 with more biologically meaningful root length definitions.</t>
  </si>
  <si>
    <t>After intense week of work I decided to take a break.</t>
  </si>
  <si>
    <t>Task 8</t>
  </si>
  <si>
    <t>Kaggle Competition</t>
  </si>
  <si>
    <t>I tried to improve my results but it didn't give me anything better than I have.</t>
  </si>
  <si>
    <t>I started to creating final pipline for the project</t>
  </si>
  <si>
    <t>End of the block challenges presentation by Shiv</t>
  </si>
  <si>
    <t>Exchange info session by Zhanna</t>
  </si>
  <si>
    <t>Robotics &amp; PID Review Session by Dean</t>
  </si>
  <si>
    <t>Exchange</t>
  </si>
  <si>
    <t>Documentation</t>
  </si>
  <si>
    <t>We recived small data set with seedlings on early stage. I decided to give it a shot. For next iteration of the model I implemented data agumentation.</t>
  </si>
  <si>
    <t>Reinforcement Learning</t>
  </si>
  <si>
    <t>I started reading materials for the robotic tasks. I think I understand the concepts but I would like to use more code. Personally, it is more efficient. It is a pity that we didn't get a 'self study' materials for robotics.</t>
  </si>
  <si>
    <t>We have plenty of challenges after this block. It is hard to decided which one to choose.</t>
  </si>
  <si>
    <t>While attempting to improve the results of Task 7, I reached a point of diminishing returns. Despite several attempts, none of the changes led to measurable improvement. This forced me to critically assess whether continued optimisation was the best use of time. I concluded that the current solution is sufficiently strong and that further gains would likely require more fundamental changes rather than incremental tweaks.
Based on this assessment, I shifted my focus to Task 8 and began constructing the final pipeline for the project. This decision was driven by the understanding that having a complete, end-to-end pipeline is more valuable at this stage than maximising performance on a single task. Building the pipeline also allowed me to see how earlier design choices interact and where potential weaknesses remain.
Attending the presentation on end-of-block challenges highlighted the number of possible directions my self development and portfolio could take after this block. . I found it difficult to decide which challenge to pursue, which made me reflect on the need to prioritise based on feasibility, relevance, and personal learning goals rather than ambition alone.
Next Steps:
- Finalise the project pipeline and identify its weakest components.
- Avoid over-optimising Task 7 unless clear improvement opportunities emerge.
- Evaluate end of block challenge options based on impact and required effort.
- Use stand-up feedback to continuously reassess priorities and direction.</t>
  </si>
  <si>
    <t>I finished task 9 where I explored work envelope of Opentrons OT-2. I noted down my observation in README.md to meet the requirements of the task.</t>
  </si>
  <si>
    <t>PID Controller</t>
  </si>
  <si>
    <t>Task 10</t>
  </si>
  <si>
    <t>I started working on PID Controller but I'm not sure if I'm doing it right. I need to consult it with the mentor.</t>
  </si>
  <si>
    <t>I did next iteration with dice_coef loss combined with categoricalCrossentropy but it didn't give me any improvements.</t>
  </si>
  <si>
    <t>I involved evaluating the limits of optimisation and making decisions about when to change direction rather than persist with incremental adjustments. While working on Task 5, I experimented with a new loss function by combining dice_coef loss with categorical cross-entropy. Although this approach is often recommended for segmentation tasks, it did not lead to any noticeable improvement.
Receiving a small additional dataset with early-stage seedlings gave me an opportunity to rethink the problem from a different angle. Rather than further tuning the architecture, I decided to focus on data augmentation in the next iteration. This decision was based on the observation that early growth stages introduce visual variability that the model may not have seen before.
Alongside model development, I attended sessions related to exchange opportunities and robotics, which prompted reflection on my broader learning strategy. In particular, during the robotics and PID review session, I realised that I understand the theoretical concepts reasonably well but struggle to internalise them without hands-on coding examples. This insight also emerged while reading reinforcement learning materials: while the concepts make sense, my learning is noticeably more effective when theory is paired with practical implementation. The lack of self-study coding materials in robotics made this gap more visible.
I applied this reflection when working on Task 9, where I explored the work envelope of the Opentrons OT-2. Completing the task and documenting observations in the README helped me consolidate understanding through practice. However, when starting Task 10 on the PID controller, I became uncertain whether my implementation approach was correct. Instead of continuing blindly, I recognised the need to consult my mentor, which reflects a more cautious and reflective approach to complex control problems.
Next Steps:
- Evaluate whether data augmentation improves Task 5 results before attempting further model-level changes.
- Focus on learning robotics concepts through implementation wherever possible.
- Review Task 9 observations to inform future robotics tasks.
- Discuss the PID controller approach with a mentor before proceeding further.</t>
  </si>
  <si>
    <t>task_6.ipynb</t>
  </si>
  <si>
    <t>task09_robotics_environment</t>
  </si>
  <si>
    <t>task10_pid_controller.ipynb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</si>
</sst>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7"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
      <u/>
      <sz val="10"/>
      <color theme="10"/>
      <name val="Arial"/>
    </font>
    <font>
      <u/>
      <sz val="9"/>
      <color theme="10"/>
      <name val="Calibri"/>
      <family val="2"/>
      <scheme val="minor"/>
    </font>
    <font>
      <u/>
      <sz val="10"/>
      <color theme="10"/>
      <name val="Arial"/>
      <family val="2"/>
    </font>
    <font>
      <sz val="8"/>
      <name val="Arial"/>
      <family val="2"/>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
      <patternFill patternType="solid">
        <fgColor theme="9"/>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2">
    <xf numFmtId="0" fontId="0" fillId="0" borderId="0"/>
    <xf numFmtId="0" fontId="13" fillId="0" borderId="0" applyNumberFormat="0" applyFill="0" applyBorder="0" applyAlignment="0" applyProtection="0"/>
  </cellStyleXfs>
  <cellXfs count="85">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8" borderId="3"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0" fontId="8" fillId="0" borderId="7" xfId="0" applyFont="1" applyBorder="1" applyAlignment="1">
      <alignment vertical="top" wrapText="1"/>
    </xf>
    <xf numFmtId="0" fontId="8" fillId="0" borderId="10" xfId="0" applyFont="1" applyBorder="1" applyAlignment="1">
      <alignmen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164" fontId="8" fillId="0" borderId="0" xfId="0" applyNumberFormat="1" applyFont="1" applyAlignment="1">
      <alignment horizontal="right" vertical="top" wrapText="1"/>
    </xf>
    <xf numFmtId="0" fontId="8" fillId="0" borderId="0" xfId="0" applyFont="1" applyAlignment="1">
      <alignment vertical="top" wrapText="1"/>
    </xf>
    <xf numFmtId="0" fontId="9" fillId="0" borderId="0" xfId="0" applyFont="1" applyAlignment="1">
      <alignment vertical="top" wrapText="1"/>
    </xf>
    <xf numFmtId="0" fontId="8" fillId="0" borderId="0" xfId="0" applyFont="1" applyAlignment="1">
      <alignment horizontal="center" vertical="top" wrapText="1"/>
    </xf>
    <xf numFmtId="0" fontId="8" fillId="0" borderId="0" xfId="0" applyFont="1" applyAlignment="1">
      <alignment horizontal="right" vertical="top" wrapText="1"/>
    </xf>
    <xf numFmtId="0" fontId="10" fillId="0" borderId="0" xfId="0" applyFont="1" applyAlignment="1">
      <alignment horizontal="left" vertical="top" wrapText="1"/>
    </xf>
    <xf numFmtId="0" fontId="0" fillId="0" borderId="0" xfId="0" applyAlignment="1">
      <alignment wrapText="1"/>
    </xf>
    <xf numFmtId="0" fontId="8" fillId="0" borderId="0" xfId="0" applyFont="1" applyAlignment="1">
      <alignment horizontal="left" vertical="top" wrapText="1"/>
    </xf>
    <xf numFmtId="166" fontId="8" fillId="0" borderId="0" xfId="0" applyNumberFormat="1" applyFont="1" applyAlignment="1">
      <alignment horizontal="right" vertical="top" wrapText="1"/>
    </xf>
    <xf numFmtId="0" fontId="14" fillId="0" borderId="0" xfId="1" applyFont="1" applyAlignment="1">
      <alignment horizontal="left" vertical="top" wrapText="1"/>
    </xf>
    <xf numFmtId="0" fontId="13" fillId="0" borderId="0" xfId="1" applyAlignment="1">
      <alignment horizontal="left" vertical="top" wrapText="1"/>
    </xf>
    <xf numFmtId="0" fontId="15" fillId="0" borderId="0" xfId="1" applyFont="1" applyAlignment="1">
      <alignment horizontal="left" vertical="top" wrapText="1"/>
    </xf>
    <xf numFmtId="0" fontId="13" fillId="0" borderId="0" xfId="1" applyAlignment="1">
      <alignment wrapText="1"/>
    </xf>
    <xf numFmtId="0" fontId="0" fillId="14" borderId="0" xfId="0" applyFill="1"/>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12" borderId="5" xfId="0" applyFont="1" applyFill="1" applyBorder="1" applyAlignment="1">
      <alignment vertical="center" wrapText="1"/>
    </xf>
    <xf numFmtId="0" fontId="5" fillId="0" borderId="2" xfId="0" applyFont="1" applyBorder="1"/>
    <xf numFmtId="0" fontId="5" fillId="0" borderId="9" xfId="0" applyFont="1" applyBorder="1"/>
    <xf numFmtId="0" fontId="4" fillId="10" borderId="5" xfId="0" applyFont="1" applyFill="1" applyBorder="1" applyAlignment="1">
      <alignment vertical="center" wrapText="1"/>
    </xf>
    <xf numFmtId="0" fontId="7" fillId="10" borderId="5" xfId="0" applyFont="1" applyFill="1" applyBorder="1" applyAlignment="1">
      <alignment vertical="center"/>
    </xf>
    <xf numFmtId="0" fontId="4" fillId="11" borderId="5" xfId="0" applyFont="1" applyFill="1" applyBorder="1" applyAlignment="1">
      <alignment vertical="center" wrapText="1"/>
    </xf>
    <xf numFmtId="0" fontId="4" fillId="13" borderId="5" xfId="0" applyFont="1" applyFill="1" applyBorder="1" applyAlignment="1">
      <alignment vertical="center" wrapText="1"/>
    </xf>
    <xf numFmtId="0" fontId="5" fillId="13" borderId="2" xfId="0" applyFont="1" applyFill="1" applyBorder="1"/>
    <xf numFmtId="0" fontId="5" fillId="13" borderId="9" xfId="0" applyFont="1" applyFill="1" applyBorder="1"/>
    <xf numFmtId="0" fontId="7" fillId="13" borderId="5" xfId="0" applyFont="1" applyFill="1" applyBorder="1" applyAlignment="1">
      <alignment vertical="center"/>
    </xf>
    <xf numFmtId="0" fontId="7" fillId="12"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7" fillId="11" borderId="5" xfId="0" applyFont="1" applyFill="1" applyBorder="1" applyAlignment="1">
      <alignment vertical="center"/>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cellXfs>
  <cellStyles count="2">
    <cellStyle name="Hyperlink" xfId="1" builtinId="8"/>
    <cellStyle name="Normal" xfId="0" builtinId="0"/>
  </cellStyles>
  <dxfs count="31">
    <dxf>
      <fill>
        <patternFill patternType="solid">
          <fgColor rgb="FFFCE8B2"/>
          <bgColor rgb="FFFCE8B2"/>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3" Type="http://schemas.openxmlformats.org/officeDocument/2006/relationships/hyperlink" Target="https://github.com/BredaUniversityADSAI/2025-26b-fai2-adsai-MaciejCzerniak243552/blob/447483f5a2955471ec98796da1a625ba4d2f811e/Task_3/task_3.ipynb" TargetMode="External"/><Relationship Id="rId18" Type="http://schemas.openxmlformats.org/officeDocument/2006/relationships/hyperlink" Target="https://github.com/BredaUniversityADSAI/2025-26b-fai2-adsai-MaciejCzerniak243552/tree/c067849ee0eff437cdd23cd4c947107f20489046/Task_1/Part%202/17769-17670%20-%20Samara%20Abdelrahman%20A.%20H.%20Samara%20-%2014%20November%202025%201346" TargetMode="External"/><Relationship Id="rId26" Type="http://schemas.openxmlformats.org/officeDocument/2006/relationships/hyperlink" Target="https://github.com/BredaUniversityADSAI/2025-26b-fai2-adsai-MaciejCzerniak243552/blob/9741f58710fc02dc03dd1c6d6e1d644911cf66fb/Task_2/task_2.ipynb" TargetMode="External"/><Relationship Id="rId39" Type="http://schemas.openxmlformats.org/officeDocument/2006/relationships/hyperlink" Target="https://github.com/BredaUniversityADSAI/2025-26b-fai2-adsai-MaciejCzerniak243552/blob/acc697b160ebb974e501bb302c873ecdc8d32b53/Task_6/task_6.ipynb" TargetMode="External"/><Relationship Id="rId21" Type="http://schemas.openxmlformats.org/officeDocument/2006/relationships/hyperlink" Target="https://github.com/BredaUniversityADSAI/2025-26b-fai2-adsai-MaciejCzerniak243552/blob/c067849ee0eff437cdd23cd4c947107f20489046/Task_4/task_4.ipynb" TargetMode="External"/><Relationship Id="rId34" Type="http://schemas.openxmlformats.org/officeDocument/2006/relationships/hyperlink" Target="https://github.com/BredaUniversityADSAI/2025-26b-fai2-adsai-MaciejCzerniak243552/tree/acc697b160ebb974e501bb302c873ecdc8d32b53/Task_5" TargetMode="External"/><Relationship Id="rId42" Type="http://schemas.openxmlformats.org/officeDocument/2006/relationships/hyperlink" Target="https://github.com/BredaUniversityADSAI/2025-26b-fai2-adsai-MaciejCzerniak243552/blob/acc697b160ebb974e501bb302c873ecdc8d32b53/Task_6/task_6.ipynb" TargetMode="External"/><Relationship Id="rId47" Type="http://schemas.openxmlformats.org/officeDocument/2006/relationships/hyperlink" Target="https://github.com/BredaUniversityADSAI/2025-26b-fai2-adsai-MaciejCzerniak243552/tree/acc697b160ebb974e501bb302c873ecdc8d32b53/Task_5" TargetMode="External"/><Relationship Id="rId50" Type="http://schemas.openxmlformats.org/officeDocument/2006/relationships/hyperlink" Target="https://github.com/BredaUniversityADSAI/2025-26b-fai2-adsai-MaciejCzerniak243552/blob/ae308f96374d4e9bb96ef3010bc2722eff1827eb/task09_robotics_environment/Y2B-2023-OT2_Twin/task10_pid_controller.ipynb" TargetMode="External"/><Relationship Id="rId7" Type="http://schemas.openxmlformats.org/officeDocument/2006/relationships/hyperlink" Target="https://github.com/BredaUniversityADSAI/2025-26b-fai2-adsai-MaciejCzerniak243552/blob/9741f58710fc02dc03dd1c6d6e1d644911cf66fb/Task_2/task_2.ipynb" TargetMode="External"/><Relationship Id="rId2" Type="http://schemas.openxmlformats.org/officeDocument/2006/relationships/hyperlink" Target="https://github.com/BredaUniversityADSAI/2025-26b-fai2-adsai-MaciejCzerniak243552/tree/789491ff1192860a209c9fda587e39433d98bc51/Task_1" TargetMode="External"/><Relationship Id="rId16" Type="http://schemas.openxmlformats.org/officeDocument/2006/relationships/hyperlink" Target="https://github.com/BredaUniversityADSAI/2025-26b-fai2-adsai-MaciejCzerniak243552/tree/c067849ee0eff437cdd23cd4c947107f20489046/Task_1/Part%201" TargetMode="External"/><Relationship Id="rId29" Type="http://schemas.openxmlformats.org/officeDocument/2006/relationships/hyperlink" Target="https://github.com/BredaUniversityADSAI/2025-26b-fai2-adsai-MaciejCzerniak243552/tree/acc697b160ebb974e501bb302c873ecdc8d32b53/Task_5" TargetMode="External"/><Relationship Id="rId11" Type="http://schemas.openxmlformats.org/officeDocument/2006/relationships/hyperlink" Target="https://github.com/BredaUniversityADSAI/2025-26b-fai2-adsai-MaciejCzerniak243552/blob/447483f5a2955471ec98796da1a625ba4d2f811e/Task_3/task_3.ipynb" TargetMode="External"/><Relationship Id="rId24" Type="http://schemas.openxmlformats.org/officeDocument/2006/relationships/hyperlink" Target="https://github.com/BredaUniversityADSAI/2025-26b-fai2-adsai-MaciejCzerniak243552/blob/c067849ee0eff437cdd23cd4c947107f20489046/self_study/w2/8.%20Multiclass%20Image%20Segmentation%20with%20DL.ipynb" TargetMode="External"/><Relationship Id="rId32" Type="http://schemas.openxmlformats.org/officeDocument/2006/relationships/hyperlink" Target="https://github.com/BredaUniversityADSAI/2025-26b-fai2-adsai-MaciejCzerniak243552/tree/acc697b160ebb974e501bb302c873ecdc8d32b53/Task_5" TargetMode="External"/><Relationship Id="rId37" Type="http://schemas.openxmlformats.org/officeDocument/2006/relationships/hyperlink" Target="https://github.com/BredaUniversityADSAI/2025-26b-fai2-adsai-MaciejCzerniak243552/blob/acc697b160ebb974e501bb302c873ecdc8d32b53/Task_6/task_6.ipynb" TargetMode="External"/><Relationship Id="rId40" Type="http://schemas.openxmlformats.org/officeDocument/2006/relationships/hyperlink" Target="https://github.com/BredaUniversityADSAI/2025-26b-fai2-adsai-MaciejCzerniak243552/blob/acc697b160ebb974e501bb302c873ecdc8d32b53/Task_6/task_6.ipynb" TargetMode="External"/><Relationship Id="rId45" Type="http://schemas.openxmlformats.org/officeDocument/2006/relationships/hyperlink" Target="https://github.com/BredaUniversityADSAI/2025-26b-fai2-adsai-MaciejCzerniak243552/tree/acc697b160ebb974e501bb302c873ecdc8d32b53/Task_7" TargetMode="External"/><Relationship Id="rId5" Type="http://schemas.openxmlformats.org/officeDocument/2006/relationships/hyperlink" Target="https://github.com/BredaUniversityADSAI/2025-26b-fai2-adsai-MaciejCzerniak243552/blob/62773e9e842c67a2a3ca198d81154ed0d85a3169/self_study/w1/2.%20Thresholding%20and%20Filtering.ipynb" TargetMode="External"/><Relationship Id="rId15" Type="http://schemas.openxmlformats.org/officeDocument/2006/relationships/hyperlink" Target="https://github.com/BredaUniversityADSAI/2025-26b-fai2-adsai-MaciejCzerniak243552/blob/c067849ee0eff437cdd23cd4c947107f20489046/self_study/w2/6.%20Object%20Detection%20with%20DL.ipynb" TargetMode="External"/><Relationship Id="rId23" Type="http://schemas.openxmlformats.org/officeDocument/2006/relationships/hyperlink" Target="https://github.com/BredaUniversityADSAI/2025-26b-fai2-adsai-MaciejCzerniak243552/blob/c067849ee0eff437cdd23cd4c947107f20489046/Task_4/task_4.ipynb" TargetMode="External"/><Relationship Id="rId28" Type="http://schemas.openxmlformats.org/officeDocument/2006/relationships/hyperlink" Target="https://github.com/BredaUniversityADSAI/2025-26b-fai2-adsai-MaciejCzerniak243552/tree/acc697b160ebb974e501bb302c873ecdc8d32b53/Task_5" TargetMode="External"/><Relationship Id="rId36" Type="http://schemas.openxmlformats.org/officeDocument/2006/relationships/hyperlink" Target="https://github.com/BredaUniversityADSAI/2025-26b-fai2-adsai-MaciejCzerniak243552/tree/acc697b160ebb974e501bb302c873ecdc8d32b53/Task_5" TargetMode="External"/><Relationship Id="rId49" Type="http://schemas.openxmlformats.org/officeDocument/2006/relationships/hyperlink" Target="https://github.com/BredaUniversityADSAI/2025-26b-fai2-adsai-MaciejCzerniak243552/tree/acc697b160ebb974e501bb302c873ecdc8d32b53/task09_robotics_environment" TargetMode="External"/><Relationship Id="rId10" Type="http://schemas.openxmlformats.org/officeDocument/2006/relationships/hyperlink" Target="https://github.com/BredaUniversityADSAI/2025-26b-fai2-adsai-MaciejCzerniak243552/blob/62773e9e842c67a2a3ca198d81154ed0d85a3169/self_study/w1/5.%20Image%20Segmentation.ipynb" TargetMode="External"/><Relationship Id="rId19" Type="http://schemas.openxmlformats.org/officeDocument/2006/relationships/hyperlink" Target="https://github.com/BredaUniversityADSAI/2025-26b-fai2-adsai-MaciejCzerniak243552/tree/c067849ee0eff437cdd23cd4c947107f20489046/Task_1/Part%202/17769-17670%20-%20Samara%20Abdelrahman%20A.%20H.%20Samara%20-%2014%20November%202025%201346" TargetMode="External"/><Relationship Id="rId31" Type="http://schemas.openxmlformats.org/officeDocument/2006/relationships/hyperlink" Target="https://github.com/BredaUniversityADSAI/2025-26b-fai2-adsai-MaciejCzerniak243552/tree/acc697b160ebb974e501bb302c873ecdc8d32b53/Task_5" TargetMode="External"/><Relationship Id="rId44" Type="http://schemas.openxmlformats.org/officeDocument/2006/relationships/hyperlink" Target="https://github.com/BredaUniversityADSAI/2025-26b-fai2-adsai-MaciejCzerniak243552/tree/acc697b160ebb974e501bb302c873ecdc8d32b53/Task_7" TargetMode="External"/><Relationship Id="rId4" Type="http://schemas.openxmlformats.org/officeDocument/2006/relationships/hyperlink" Target="https://github.com/BredaUniversityADSAI/2025-26b-fai2-adsai-MaciejCzerniak243552/tree/789491ff1192860a209c9fda587e39433d98bc51/Task_1" TargetMode="External"/><Relationship Id="rId9" Type="http://schemas.openxmlformats.org/officeDocument/2006/relationships/hyperlink" Target="https://github.com/BredaUniversityADSAI/2025-26b-fai2-adsai-MaciejCzerniak243552/blob/62773e9e842c67a2a3ca198d81154ed0d85a3169/self_study/w2/6.%20Object%20Detection%20with%20DL.ipynb" TargetMode="External"/><Relationship Id="rId14" Type="http://schemas.openxmlformats.org/officeDocument/2006/relationships/hyperlink" Target="https://github.com/BredaUniversityADSAI/2025-26b-fai2-adsai-MaciejCzerniak243552/blob/c067849ee0eff437cdd23cd4c947107f20489046/self_study/w2/7.%20Image%20segmentation%20with%20DL.ipynb" TargetMode="External"/><Relationship Id="rId22" Type="http://schemas.openxmlformats.org/officeDocument/2006/relationships/hyperlink" Target="https://github.com/BredaUniversityADSAI/2025-26b-fai2-adsai-MaciejCzerniak243552/blob/c067849ee0eff437cdd23cd4c947107f20489046/Task_4/task_4.ipynb" TargetMode="External"/><Relationship Id="rId27" Type="http://schemas.openxmlformats.org/officeDocument/2006/relationships/hyperlink" Target="https://github.com/BredaUniversityADSAI/2025-26b-fai2-adsai-MaciejCzerniak243552/blob/c067849ee0eff437cdd23cd4c947107f20489046/Task_4/task_4.ipynb" TargetMode="External"/><Relationship Id="rId30" Type="http://schemas.openxmlformats.org/officeDocument/2006/relationships/hyperlink" Target="https://github.com/BredaUniversityADSAI/2025-26b-fai2-adsai-MaciejCzerniak243552/tree/acc697b160ebb974e501bb302c873ecdc8d32b53/Task_5" TargetMode="External"/><Relationship Id="rId35" Type="http://schemas.openxmlformats.org/officeDocument/2006/relationships/hyperlink" Target="https://github.com/BredaUniversityADSAI/2025-26b-fai2-adsai-MaciejCzerniak243552/tree/acc697b160ebb974e501bb302c873ecdc8d32b53/Task_5" TargetMode="External"/><Relationship Id="rId43" Type="http://schemas.openxmlformats.org/officeDocument/2006/relationships/hyperlink" Target="https://github.com/BredaUniversityADSAI/2025-26b-fai2-adsai-MaciejCzerniak243552/tree/acc697b160ebb974e501bb302c873ecdc8d32b53/Task_7" TargetMode="External"/><Relationship Id="rId48" Type="http://schemas.openxmlformats.org/officeDocument/2006/relationships/hyperlink" Target="https://github.com/BredaUniversityADSAI/2025-26b-fai2-adsai-MaciejCzerniak243552/tree/acc697b160ebb974e501bb302c873ecdc8d32b53/Task_8" TargetMode="External"/><Relationship Id="rId8" Type="http://schemas.openxmlformats.org/officeDocument/2006/relationships/hyperlink" Target="https://github.com/BredaUniversityADSAI/2025-26b-fai2-adsai-MaciejCzerniak243552/blob/62773e9e842c67a2a3ca198d81154ed0d85a3169/self_study/w2/6.%20Object%20Detection%20with%20DL.ipynb" TargetMode="External"/><Relationship Id="rId51" Type="http://schemas.openxmlformats.org/officeDocument/2006/relationships/printerSettings" Target="../printerSettings/printerSettings1.bin"/><Relationship Id="rId3" Type="http://schemas.openxmlformats.org/officeDocument/2006/relationships/hyperlink" Target="https://github.com/BredaUniversityADSAI/2025-26b-fai2-adsai-MaciejCzerniak243552/blob/62773e9e842c67a2a3ca198d81154ed0d85a3169/self_study/w1/1.%20Basics.ipynb" TargetMode="External"/><Relationship Id="rId12" Type="http://schemas.openxmlformats.org/officeDocument/2006/relationships/hyperlink" Target="https://github.com/BredaUniversityADSAI/2025-26b-fai2-adsai-MaciejCzerniak243552/blob/447483f5a2955471ec98796da1a625ba4d2f811e/Task_3/task_3.ipynb" TargetMode="External"/><Relationship Id="rId17" Type="http://schemas.openxmlformats.org/officeDocument/2006/relationships/hyperlink" Target="https://github.com/BredaUniversityADSAI/2025-26b-fai2-adsai-MaciejCzerniak243552/tree/c067849ee0eff437cdd23cd4c947107f20489046/Task_1/Part%201" TargetMode="External"/><Relationship Id="rId25" Type="http://schemas.openxmlformats.org/officeDocument/2006/relationships/hyperlink" Target="https://github.com/BredaUniversityADSAI/2025-26b-fai2-adsai-MaciejCzerniak243552/blob/c067849ee0eff437cdd23cd4c947107f20489046/self_study/w2/7.%20Image%20segmentation%20with%20DL.ipynb" TargetMode="External"/><Relationship Id="rId33" Type="http://schemas.openxmlformats.org/officeDocument/2006/relationships/hyperlink" Target="https://github.com/BredaUniversityADSAI/2025-26b-fai2-adsai-MaciejCzerniak243552/tree/acc697b160ebb974e501bb302c873ecdc8d32b53/Task_5" TargetMode="External"/><Relationship Id="rId38" Type="http://schemas.openxmlformats.org/officeDocument/2006/relationships/hyperlink" Target="https://github.com/BredaUniversityADSAI/2025-26b-fai2-adsai-MaciejCzerniak243552/blob/acc697b160ebb974e501bb302c873ecdc8d32b53/Task_6/task_6.ipynb" TargetMode="External"/><Relationship Id="rId46" Type="http://schemas.openxmlformats.org/officeDocument/2006/relationships/hyperlink" Target="https://github.com/BredaUniversityADSAI/2025-26b-fai2-adsai-MaciejCzerniak243552/tree/acc697b160ebb974e501bb302c873ecdc8d32b53/Task_5" TargetMode="External"/><Relationship Id="rId20" Type="http://schemas.openxmlformats.org/officeDocument/2006/relationships/hyperlink" Target="https://github.com/BredaUniversityADSAI/2025-26b-fai2-adsai-MaciejCzerniak243552/blob/c067849ee0eff437cdd23cd4c947107f20489046/Task_4/task_4.ipynb" TargetMode="External"/><Relationship Id="rId41" Type="http://schemas.openxmlformats.org/officeDocument/2006/relationships/hyperlink" Target="https://github.com/BredaUniversityADSAI/2025-26b-fai2-adsai-MaciejCzerniak243552/blob/acc697b160ebb974e501bb302c873ecdc8d32b53/Task_6/task_6.ipynb" TargetMode="External"/><Relationship Id="rId1" Type="http://schemas.openxmlformats.org/officeDocument/2006/relationships/hyperlink" Target="https://tangible-landscape.github.io/" TargetMode="External"/><Relationship Id="rId6" Type="http://schemas.openxmlformats.org/officeDocument/2006/relationships/hyperlink" Target="https://github.com/BredaUniversityADSAI/2025-26b-fai2-adsai-MaciejCzerniak243552/blob/main/self_study/w1/3.%20Morphological%20Operations.ipynb"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240"/>
  <sheetViews>
    <sheetView tabSelected="1" topLeftCell="B1" zoomScaleNormal="100" workbookViewId="0">
      <pane ySplit="1" topLeftCell="A84" activePane="bottomLeft" state="frozen"/>
      <selection pane="bottomLeft" activeCell="F85" sqref="F85"/>
    </sheetView>
  </sheetViews>
  <sheetFormatPr defaultColWidth="14.44140625" defaultRowHeight="15" customHeight="1" x14ac:dyDescent="0.25"/>
  <cols>
    <col min="1" max="1" width="9.77734375" customWidth="1"/>
    <col min="2" max="2" width="11.33203125" customWidth="1"/>
    <col min="3" max="3" width="16.33203125" customWidth="1"/>
    <col min="4" max="4" width="43.44140625" customWidth="1"/>
    <col min="5" max="6" width="15.44140625" customWidth="1"/>
    <col min="7" max="7" width="8.6640625" customWidth="1"/>
    <col min="8" max="8" width="8.44140625" customWidth="1"/>
    <col min="9" max="9" width="6.44140625" customWidth="1"/>
    <col min="10" max="10" width="18.44140625" customWidth="1"/>
    <col min="11" max="11" width="57" customWidth="1"/>
  </cols>
  <sheetData>
    <row r="1" spans="1:11" ht="24" x14ac:dyDescent="0.25">
      <c r="A1" s="32" t="s">
        <v>0</v>
      </c>
      <c r="B1" s="32" t="s">
        <v>1</v>
      </c>
      <c r="C1" s="32" t="s">
        <v>2</v>
      </c>
      <c r="D1" s="32" t="s">
        <v>3</v>
      </c>
      <c r="E1" s="33" t="s">
        <v>4</v>
      </c>
      <c r="F1" s="33" t="s">
        <v>5</v>
      </c>
      <c r="G1" s="33" t="s">
        <v>6</v>
      </c>
      <c r="H1" s="33" t="s">
        <v>7</v>
      </c>
      <c r="I1" s="33" t="s">
        <v>8</v>
      </c>
      <c r="J1" s="33" t="s">
        <v>9</v>
      </c>
      <c r="K1" s="34" t="s">
        <v>10</v>
      </c>
    </row>
    <row r="2" spans="1:11" ht="18.75" customHeight="1" x14ac:dyDescent="0.25">
      <c r="A2" s="73" t="s">
        <v>11</v>
      </c>
      <c r="B2" s="74"/>
      <c r="C2" s="74"/>
      <c r="D2" s="74"/>
      <c r="E2" s="74"/>
      <c r="F2" s="74"/>
      <c r="G2" s="74"/>
      <c r="H2" s="74"/>
      <c r="I2" s="74"/>
      <c r="J2" s="74"/>
      <c r="K2" s="75"/>
    </row>
    <row r="3" spans="1:11" ht="13.2" x14ac:dyDescent="0.25">
      <c r="A3" s="5" t="s">
        <v>12</v>
      </c>
      <c r="B3" s="76" t="s">
        <v>13</v>
      </c>
      <c r="C3" s="63"/>
      <c r="D3" s="63"/>
      <c r="E3" s="63"/>
      <c r="F3" s="63"/>
      <c r="G3" s="63"/>
      <c r="H3" s="63"/>
      <c r="I3" s="63"/>
      <c r="J3" s="63"/>
      <c r="K3" s="64"/>
    </row>
    <row r="4" spans="1:11" ht="27.75" customHeight="1" x14ac:dyDescent="0.25">
      <c r="A4" s="8" t="s">
        <v>14</v>
      </c>
      <c r="B4" s="76" t="s">
        <v>72</v>
      </c>
      <c r="C4" s="63"/>
      <c r="D4" s="63"/>
      <c r="E4" s="63"/>
      <c r="F4" s="63"/>
      <c r="G4" s="63"/>
      <c r="H4" s="63"/>
      <c r="I4" s="63"/>
      <c r="J4" s="63"/>
      <c r="K4" s="64"/>
    </row>
    <row r="5" spans="1:11" s="48" customFormat="1" ht="24" x14ac:dyDescent="0.25">
      <c r="A5" s="42">
        <v>45971</v>
      </c>
      <c r="B5" s="43" t="s">
        <v>52</v>
      </c>
      <c r="C5" s="44" t="s">
        <v>67</v>
      </c>
      <c r="D5" s="43" t="s">
        <v>67</v>
      </c>
      <c r="E5" s="45" t="s">
        <v>44</v>
      </c>
      <c r="F5" s="45"/>
      <c r="G5" s="46">
        <v>1.25</v>
      </c>
      <c r="H5" s="46">
        <v>1.25</v>
      </c>
      <c r="I5" s="46">
        <f t="shared" ref="I5:I22" si="0">H5-G5</f>
        <v>0</v>
      </c>
      <c r="J5" s="47"/>
      <c r="K5" s="35" t="s">
        <v>68</v>
      </c>
    </row>
    <row r="6" spans="1:11" s="48" customFormat="1" ht="24" x14ac:dyDescent="0.25">
      <c r="B6" s="43" t="s">
        <v>52</v>
      </c>
      <c r="C6" s="44" t="s">
        <v>44</v>
      </c>
      <c r="D6" s="43" t="s">
        <v>75</v>
      </c>
      <c r="E6" s="45" t="s">
        <v>44</v>
      </c>
      <c r="F6" s="45" t="s">
        <v>74</v>
      </c>
      <c r="G6" s="46">
        <v>0.25</v>
      </c>
      <c r="H6" s="46">
        <v>0.5</v>
      </c>
      <c r="I6" s="46">
        <f t="shared" si="0"/>
        <v>0.25</v>
      </c>
      <c r="J6" s="47"/>
      <c r="K6" s="35" t="s">
        <v>71</v>
      </c>
    </row>
    <row r="7" spans="1:11" s="48" customFormat="1" ht="13.2" x14ac:dyDescent="0.25">
      <c r="B7" s="43" t="s">
        <v>52</v>
      </c>
      <c r="C7" s="44" t="s">
        <v>69</v>
      </c>
      <c r="D7" s="43" t="s">
        <v>70</v>
      </c>
      <c r="E7" s="45" t="s">
        <v>64</v>
      </c>
      <c r="F7" s="45" t="s">
        <v>76</v>
      </c>
      <c r="G7" s="46">
        <v>3</v>
      </c>
      <c r="H7" s="46">
        <v>3</v>
      </c>
      <c r="I7" s="46">
        <f t="shared" si="0"/>
        <v>0</v>
      </c>
      <c r="J7" s="47"/>
      <c r="K7" s="35"/>
    </row>
    <row r="8" spans="1:11" s="48" customFormat="1" ht="96" x14ac:dyDescent="0.25">
      <c r="B8" s="43" t="s">
        <v>52</v>
      </c>
      <c r="C8" s="44" t="s">
        <v>61</v>
      </c>
      <c r="D8" s="43" t="s">
        <v>73</v>
      </c>
      <c r="E8" s="45" t="s">
        <v>61</v>
      </c>
      <c r="F8" s="45" t="s">
        <v>74</v>
      </c>
      <c r="G8" s="46">
        <v>0.5</v>
      </c>
      <c r="H8" s="46">
        <v>0.5</v>
      </c>
      <c r="I8" s="46">
        <f t="shared" ref="I8" si="1">H8-G8</f>
        <v>0</v>
      </c>
      <c r="J8" s="47"/>
      <c r="K8" s="35" t="s">
        <v>93</v>
      </c>
    </row>
    <row r="9" spans="1:11" s="48" customFormat="1" ht="13.2" x14ac:dyDescent="0.25">
      <c r="B9" s="43" t="s">
        <v>52</v>
      </c>
      <c r="C9" s="44" t="s">
        <v>69</v>
      </c>
      <c r="D9" s="43" t="s">
        <v>90</v>
      </c>
      <c r="E9" s="45" t="s">
        <v>64</v>
      </c>
      <c r="F9" s="45" t="s">
        <v>76</v>
      </c>
      <c r="G9" s="46">
        <v>1</v>
      </c>
      <c r="H9" s="46">
        <v>1</v>
      </c>
      <c r="I9" s="46">
        <f t="shared" si="0"/>
        <v>0</v>
      </c>
      <c r="J9" s="51" t="s">
        <v>91</v>
      </c>
      <c r="K9" s="35"/>
    </row>
    <row r="10" spans="1:11" s="48" customFormat="1" ht="48" x14ac:dyDescent="0.25">
      <c r="A10" s="42">
        <v>45972</v>
      </c>
      <c r="B10" s="43" t="s">
        <v>52</v>
      </c>
      <c r="C10" s="44" t="s">
        <v>78</v>
      </c>
      <c r="D10" s="43" t="s">
        <v>77</v>
      </c>
      <c r="E10" s="45" t="s">
        <v>39</v>
      </c>
      <c r="F10" s="45"/>
      <c r="G10" s="46">
        <v>4</v>
      </c>
      <c r="H10" s="46">
        <v>7</v>
      </c>
      <c r="I10" s="46">
        <f t="shared" si="0"/>
        <v>3</v>
      </c>
      <c r="J10" s="51" t="s">
        <v>89</v>
      </c>
      <c r="K10" s="35" t="s">
        <v>79</v>
      </c>
    </row>
    <row r="11" spans="1:11" s="48" customFormat="1" ht="48" x14ac:dyDescent="0.25">
      <c r="A11" s="42">
        <v>45973</v>
      </c>
      <c r="B11" s="43" t="s">
        <v>52</v>
      </c>
      <c r="C11" s="44" t="s">
        <v>78</v>
      </c>
      <c r="D11" s="43" t="s">
        <v>80</v>
      </c>
      <c r="E11" s="45" t="s">
        <v>39</v>
      </c>
      <c r="F11" s="45"/>
      <c r="G11" s="46">
        <v>4</v>
      </c>
      <c r="H11" s="46">
        <v>12</v>
      </c>
      <c r="I11" s="46">
        <f t="shared" si="0"/>
        <v>8</v>
      </c>
      <c r="J11" s="49"/>
      <c r="K11" s="35" t="s">
        <v>81</v>
      </c>
    </row>
    <row r="12" spans="1:11" s="48" customFormat="1" ht="48" x14ac:dyDescent="0.25">
      <c r="A12" s="42">
        <v>45974</v>
      </c>
      <c r="B12" s="43" t="s">
        <v>52</v>
      </c>
      <c r="C12" s="44" t="s">
        <v>82</v>
      </c>
      <c r="D12" s="43" t="s">
        <v>83</v>
      </c>
      <c r="E12" s="45" t="s">
        <v>64</v>
      </c>
      <c r="F12" s="45" t="s">
        <v>76</v>
      </c>
      <c r="G12" s="46">
        <v>3</v>
      </c>
      <c r="H12" s="46">
        <v>3</v>
      </c>
      <c r="I12" s="46">
        <f t="shared" ref="I12:I15" si="2">H12-G12</f>
        <v>0</v>
      </c>
      <c r="J12" s="47"/>
      <c r="K12" s="35" t="s">
        <v>85</v>
      </c>
    </row>
    <row r="13" spans="1:11" s="48" customFormat="1" ht="13.2" x14ac:dyDescent="0.25">
      <c r="B13" s="43" t="s">
        <v>52</v>
      </c>
      <c r="C13" s="44" t="s">
        <v>82</v>
      </c>
      <c r="D13" s="43" t="s">
        <v>84</v>
      </c>
      <c r="E13" s="45" t="s">
        <v>64</v>
      </c>
      <c r="F13" s="45" t="s">
        <v>76</v>
      </c>
      <c r="G13" s="46">
        <v>4</v>
      </c>
      <c r="H13" s="46">
        <v>4</v>
      </c>
      <c r="I13" s="46">
        <f t="shared" si="2"/>
        <v>0</v>
      </c>
      <c r="J13" s="47"/>
      <c r="K13" s="35"/>
    </row>
    <row r="14" spans="1:11" s="48" customFormat="1" ht="13.2" x14ac:dyDescent="0.25">
      <c r="B14" s="43" t="s">
        <v>52</v>
      </c>
      <c r="C14" s="44" t="s">
        <v>82</v>
      </c>
      <c r="D14" s="43" t="s">
        <v>84</v>
      </c>
      <c r="E14" s="45" t="s">
        <v>64</v>
      </c>
      <c r="F14" s="45" t="s">
        <v>76</v>
      </c>
      <c r="G14" s="46">
        <v>4</v>
      </c>
      <c r="H14" s="46">
        <v>4</v>
      </c>
      <c r="I14" s="46">
        <f t="shared" si="2"/>
        <v>0</v>
      </c>
      <c r="J14" s="47"/>
      <c r="K14" s="35"/>
    </row>
    <row r="15" spans="1:11" s="48" customFormat="1" ht="13.2" x14ac:dyDescent="0.25">
      <c r="A15" s="42">
        <v>45975</v>
      </c>
      <c r="B15" s="43" t="s">
        <v>52</v>
      </c>
      <c r="C15" s="44" t="s">
        <v>69</v>
      </c>
      <c r="D15" s="43" t="s">
        <v>90</v>
      </c>
      <c r="E15" s="45" t="s">
        <v>64</v>
      </c>
      <c r="F15" s="45" t="s">
        <v>76</v>
      </c>
      <c r="G15" s="46">
        <v>3</v>
      </c>
      <c r="H15" s="46">
        <v>3</v>
      </c>
      <c r="I15" s="46">
        <f t="shared" si="2"/>
        <v>0</v>
      </c>
      <c r="J15" s="51" t="s">
        <v>91</v>
      </c>
      <c r="K15" s="35"/>
    </row>
    <row r="16" spans="1:11" s="48" customFormat="1" ht="24" x14ac:dyDescent="0.25">
      <c r="B16" s="43" t="s">
        <v>52</v>
      </c>
      <c r="C16" s="44" t="s">
        <v>82</v>
      </c>
      <c r="D16" s="43" t="s">
        <v>84</v>
      </c>
      <c r="E16" s="45" t="s">
        <v>64</v>
      </c>
      <c r="F16" s="45" t="s">
        <v>76</v>
      </c>
      <c r="G16" s="46">
        <v>2</v>
      </c>
      <c r="H16" s="46">
        <v>2</v>
      </c>
      <c r="I16" s="46">
        <f t="shared" si="0"/>
        <v>0</v>
      </c>
      <c r="J16" s="47"/>
      <c r="K16" s="35" t="s">
        <v>88</v>
      </c>
    </row>
    <row r="17" spans="1:11" s="48" customFormat="1" ht="24" x14ac:dyDescent="0.25">
      <c r="B17" s="43" t="s">
        <v>52</v>
      </c>
      <c r="C17" s="44" t="s">
        <v>92</v>
      </c>
      <c r="D17" s="43" t="s">
        <v>86</v>
      </c>
      <c r="E17" s="45" t="s">
        <v>64</v>
      </c>
      <c r="F17" s="45" t="s">
        <v>76</v>
      </c>
      <c r="G17" s="46">
        <v>2</v>
      </c>
      <c r="H17" s="46">
        <v>2</v>
      </c>
      <c r="I17" s="46">
        <f t="shared" si="0"/>
        <v>0</v>
      </c>
      <c r="J17" s="52" t="s">
        <v>109</v>
      </c>
      <c r="K17" s="35" t="s">
        <v>87</v>
      </c>
    </row>
    <row r="18" spans="1:11" s="48" customFormat="1" ht="13.2" x14ac:dyDescent="0.25">
      <c r="A18" s="42">
        <v>45976</v>
      </c>
      <c r="B18" s="43" t="s">
        <v>52</v>
      </c>
      <c r="C18" s="44" t="s">
        <v>61</v>
      </c>
      <c r="D18" s="43" t="s">
        <v>73</v>
      </c>
      <c r="E18" s="45" t="s">
        <v>61</v>
      </c>
      <c r="F18" s="45" t="s">
        <v>74</v>
      </c>
      <c r="G18" s="46">
        <v>0.5</v>
      </c>
      <c r="H18" s="46">
        <v>0.5</v>
      </c>
      <c r="I18" s="46">
        <f t="shared" si="0"/>
        <v>0</v>
      </c>
      <c r="K18" s="35"/>
    </row>
    <row r="19" spans="1:11" s="48" customFormat="1" ht="26.4" x14ac:dyDescent="0.25">
      <c r="B19" s="43" t="s">
        <v>52</v>
      </c>
      <c r="C19" s="44" t="s">
        <v>92</v>
      </c>
      <c r="D19" s="43" t="s">
        <v>86</v>
      </c>
      <c r="E19" s="45" t="s">
        <v>64</v>
      </c>
      <c r="F19" s="45" t="s">
        <v>76</v>
      </c>
      <c r="G19" s="46">
        <v>1</v>
      </c>
      <c r="H19" s="46">
        <v>1</v>
      </c>
      <c r="I19" s="46">
        <f t="shared" si="0"/>
        <v>0</v>
      </c>
      <c r="J19" s="52" t="s">
        <v>110</v>
      </c>
      <c r="K19" s="35"/>
    </row>
    <row r="20" spans="1:11" s="48" customFormat="1" ht="26.4" x14ac:dyDescent="0.25">
      <c r="A20" s="42">
        <v>45977</v>
      </c>
      <c r="B20" s="43" t="s">
        <v>52</v>
      </c>
      <c r="C20" s="44" t="s">
        <v>92</v>
      </c>
      <c r="D20" s="43" t="s">
        <v>86</v>
      </c>
      <c r="E20" s="45" t="s">
        <v>64</v>
      </c>
      <c r="F20" s="45" t="s">
        <v>76</v>
      </c>
      <c r="G20" s="46">
        <v>0.5</v>
      </c>
      <c r="H20" s="46">
        <v>0.5</v>
      </c>
      <c r="I20" s="46">
        <f t="shared" si="0"/>
        <v>0</v>
      </c>
      <c r="J20" s="52" t="s">
        <v>111</v>
      </c>
      <c r="K20" s="35"/>
    </row>
    <row r="21" spans="1:11" s="48" customFormat="1" ht="84" x14ac:dyDescent="0.25">
      <c r="B21" s="43" t="s">
        <v>52</v>
      </c>
      <c r="C21" s="44" t="s">
        <v>61</v>
      </c>
      <c r="D21" s="43" t="s">
        <v>73</v>
      </c>
      <c r="E21" s="45" t="s">
        <v>61</v>
      </c>
      <c r="F21" s="45" t="s">
        <v>74</v>
      </c>
      <c r="G21" s="46">
        <v>0.5</v>
      </c>
      <c r="H21" s="46">
        <v>0.5</v>
      </c>
      <c r="I21" s="46">
        <f t="shared" ref="I21" si="3">H21-G21</f>
        <v>0</v>
      </c>
      <c r="J21" s="49"/>
      <c r="K21" s="35" t="s">
        <v>94</v>
      </c>
    </row>
    <row r="22" spans="1:11" ht="13.2" x14ac:dyDescent="0.25">
      <c r="A22" s="13"/>
      <c r="B22" s="15"/>
      <c r="C22" s="15"/>
      <c r="D22" s="15"/>
      <c r="E22" s="15" t="s">
        <v>17</v>
      </c>
      <c r="F22" s="15"/>
      <c r="G22" s="18">
        <f>SUM(G5:G21)</f>
        <v>34.5</v>
      </c>
      <c r="H22" s="18">
        <f>SUM(H5:H21)</f>
        <v>45.75</v>
      </c>
      <c r="I22" s="18">
        <f t="shared" si="0"/>
        <v>11.25</v>
      </c>
      <c r="J22" s="19"/>
      <c r="K22" s="36"/>
    </row>
    <row r="23" spans="1:11" ht="18.75" customHeight="1" x14ac:dyDescent="0.25">
      <c r="A23" s="77" t="s">
        <v>18</v>
      </c>
      <c r="B23" s="74"/>
      <c r="C23" s="74"/>
      <c r="D23" s="74"/>
      <c r="E23" s="74"/>
      <c r="F23" s="74"/>
      <c r="G23" s="74"/>
      <c r="H23" s="74"/>
      <c r="I23" s="74"/>
      <c r="J23" s="74"/>
      <c r="K23" s="75"/>
    </row>
    <row r="24" spans="1:11" ht="13.2" x14ac:dyDescent="0.25">
      <c r="A24" s="29" t="s">
        <v>12</v>
      </c>
      <c r="B24" s="78" t="s">
        <v>13</v>
      </c>
      <c r="C24" s="63"/>
      <c r="D24" s="63"/>
      <c r="E24" s="63"/>
      <c r="F24" s="63"/>
      <c r="G24" s="63"/>
      <c r="H24" s="63"/>
      <c r="I24" s="63"/>
      <c r="J24" s="63"/>
      <c r="K24" s="64"/>
    </row>
    <row r="25" spans="1:11" ht="27.75" customHeight="1" x14ac:dyDescent="0.25">
      <c r="A25" s="20" t="s">
        <v>14</v>
      </c>
      <c r="B25" s="78" t="s">
        <v>19</v>
      </c>
      <c r="C25" s="63"/>
      <c r="D25" s="63"/>
      <c r="E25" s="63"/>
      <c r="F25" s="63"/>
      <c r="G25" s="63"/>
      <c r="H25" s="63"/>
      <c r="I25" s="63"/>
      <c r="J25" s="63"/>
      <c r="K25" s="64"/>
    </row>
    <row r="26" spans="1:11" s="48" customFormat="1" ht="26.4" x14ac:dyDescent="0.25">
      <c r="A26" s="50">
        <v>45978</v>
      </c>
      <c r="B26" s="43" t="s">
        <v>52</v>
      </c>
      <c r="C26" s="44" t="s">
        <v>92</v>
      </c>
      <c r="D26" s="43" t="s">
        <v>86</v>
      </c>
      <c r="E26" s="45" t="s">
        <v>64</v>
      </c>
      <c r="F26" s="45" t="s">
        <v>76</v>
      </c>
      <c r="G26" s="46">
        <v>1</v>
      </c>
      <c r="H26" s="46">
        <v>1</v>
      </c>
      <c r="I26" s="46">
        <f t="shared" ref="I26:I41" si="4">H26-G26</f>
        <v>0</v>
      </c>
      <c r="J26" s="52" t="s">
        <v>113</v>
      </c>
      <c r="K26" s="35" t="s">
        <v>95</v>
      </c>
    </row>
    <row r="27" spans="1:11" s="48" customFormat="1" ht="180" x14ac:dyDescent="0.25">
      <c r="B27" s="43" t="s">
        <v>52</v>
      </c>
      <c r="C27" s="44" t="s">
        <v>96</v>
      </c>
      <c r="D27" s="43" t="s">
        <v>97</v>
      </c>
      <c r="E27" s="45" t="s">
        <v>44</v>
      </c>
      <c r="F27" s="45" t="s">
        <v>74</v>
      </c>
      <c r="G27" s="46">
        <v>0.25</v>
      </c>
      <c r="H27" s="46">
        <v>0.4</v>
      </c>
      <c r="I27" s="46">
        <f t="shared" si="4"/>
        <v>0.15000000000000002</v>
      </c>
      <c r="J27" s="49"/>
      <c r="K27" s="35" t="s">
        <v>103</v>
      </c>
    </row>
    <row r="28" spans="1:11" s="48" customFormat="1" ht="26.4" x14ac:dyDescent="0.25">
      <c r="B28" s="43" t="s">
        <v>52</v>
      </c>
      <c r="C28" s="44" t="s">
        <v>92</v>
      </c>
      <c r="D28" s="43" t="s">
        <v>101</v>
      </c>
      <c r="E28" s="45" t="s">
        <v>64</v>
      </c>
      <c r="F28" s="45" t="s">
        <v>76</v>
      </c>
      <c r="G28" s="46">
        <v>1</v>
      </c>
      <c r="H28" s="46">
        <v>1</v>
      </c>
      <c r="I28" s="46">
        <f t="shared" si="4"/>
        <v>0</v>
      </c>
      <c r="J28" s="52" t="s">
        <v>112</v>
      </c>
      <c r="K28" s="35"/>
    </row>
    <row r="29" spans="1:11" s="48" customFormat="1" ht="13.2" x14ac:dyDescent="0.25">
      <c r="B29" s="43" t="s">
        <v>52</v>
      </c>
      <c r="C29" s="44" t="s">
        <v>69</v>
      </c>
      <c r="D29" s="43" t="s">
        <v>98</v>
      </c>
      <c r="E29" s="45" t="s">
        <v>64</v>
      </c>
      <c r="F29" s="45" t="s">
        <v>76</v>
      </c>
      <c r="G29" s="46">
        <v>4</v>
      </c>
      <c r="H29" s="46">
        <v>4</v>
      </c>
      <c r="I29" s="46"/>
      <c r="J29" s="54" t="s">
        <v>137</v>
      </c>
      <c r="K29" s="35"/>
    </row>
    <row r="30" spans="1:11" s="48" customFormat="1" ht="24" x14ac:dyDescent="0.25">
      <c r="A30" s="50">
        <v>45979</v>
      </c>
      <c r="B30" s="43" t="s">
        <v>52</v>
      </c>
      <c r="C30" s="44" t="s">
        <v>78</v>
      </c>
      <c r="D30" s="43" t="s">
        <v>77</v>
      </c>
      <c r="E30" s="45" t="s">
        <v>39</v>
      </c>
      <c r="F30" s="45"/>
      <c r="G30" s="46">
        <v>4</v>
      </c>
      <c r="H30" s="46">
        <v>4</v>
      </c>
      <c r="I30" s="46">
        <f t="shared" si="4"/>
        <v>0</v>
      </c>
      <c r="J30" s="49"/>
      <c r="K30" s="35" t="s">
        <v>99</v>
      </c>
    </row>
    <row r="31" spans="1:11" s="48" customFormat="1" ht="24" x14ac:dyDescent="0.25">
      <c r="B31" s="43" t="s">
        <v>52</v>
      </c>
      <c r="C31" s="44" t="s">
        <v>69</v>
      </c>
      <c r="D31" s="43" t="s">
        <v>98</v>
      </c>
      <c r="E31" s="45" t="s">
        <v>64</v>
      </c>
      <c r="F31" s="45" t="s">
        <v>76</v>
      </c>
      <c r="G31" s="46">
        <v>4</v>
      </c>
      <c r="H31" s="46">
        <v>4</v>
      </c>
      <c r="I31" s="46">
        <f t="shared" si="4"/>
        <v>0</v>
      </c>
      <c r="J31" s="54" t="s">
        <v>137</v>
      </c>
      <c r="K31" s="35" t="s">
        <v>100</v>
      </c>
    </row>
    <row r="32" spans="1:11" s="48" customFormat="1" ht="26.4" x14ac:dyDescent="0.25">
      <c r="B32" s="43" t="s">
        <v>52</v>
      </c>
      <c r="C32" s="44" t="s">
        <v>92</v>
      </c>
      <c r="D32" s="43" t="s">
        <v>101</v>
      </c>
      <c r="E32" s="45" t="s">
        <v>64</v>
      </c>
      <c r="F32" s="45" t="s">
        <v>76</v>
      </c>
      <c r="G32" s="46">
        <v>1</v>
      </c>
      <c r="H32" s="46">
        <v>1</v>
      </c>
      <c r="I32" s="46">
        <f t="shared" si="4"/>
        <v>0</v>
      </c>
      <c r="J32" s="52" t="s">
        <v>112</v>
      </c>
      <c r="K32" s="35" t="s">
        <v>102</v>
      </c>
    </row>
    <row r="33" spans="1:11" s="48" customFormat="1" ht="13.2" x14ac:dyDescent="0.25">
      <c r="A33" s="50">
        <v>45980</v>
      </c>
      <c r="B33" s="43" t="s">
        <v>52</v>
      </c>
      <c r="C33" s="44" t="s">
        <v>44</v>
      </c>
      <c r="D33" s="43" t="s">
        <v>75</v>
      </c>
      <c r="E33" s="45" t="s">
        <v>44</v>
      </c>
      <c r="F33" s="45" t="s">
        <v>74</v>
      </c>
      <c r="G33" s="46">
        <v>0.25</v>
      </c>
      <c r="H33" s="46">
        <v>0.25</v>
      </c>
      <c r="I33" s="46">
        <f t="shared" si="4"/>
        <v>0</v>
      </c>
      <c r="J33" s="49"/>
      <c r="K33" s="35"/>
    </row>
    <row r="34" spans="1:11" s="48" customFormat="1" ht="36" x14ac:dyDescent="0.25">
      <c r="A34" s="50"/>
      <c r="B34" s="43" t="s">
        <v>52</v>
      </c>
      <c r="C34" s="44" t="s">
        <v>104</v>
      </c>
      <c r="D34" s="43" t="s">
        <v>105</v>
      </c>
      <c r="E34" s="45" t="s">
        <v>47</v>
      </c>
      <c r="F34" s="45" t="s">
        <v>76</v>
      </c>
      <c r="G34" s="46">
        <v>4</v>
      </c>
      <c r="H34" s="46">
        <v>4</v>
      </c>
      <c r="I34" s="46">
        <f t="shared" ref="I34" si="5">H34-G34</f>
        <v>0</v>
      </c>
      <c r="J34" s="53" t="s">
        <v>108</v>
      </c>
      <c r="K34" s="35" t="s">
        <v>106</v>
      </c>
    </row>
    <row r="35" spans="1:11" s="48" customFormat="1" ht="36" x14ac:dyDescent="0.25">
      <c r="A35" s="50"/>
      <c r="B35" s="43" t="s">
        <v>52</v>
      </c>
      <c r="C35" s="44" t="s">
        <v>104</v>
      </c>
      <c r="D35" s="43" t="s">
        <v>105</v>
      </c>
      <c r="E35" s="45" t="s">
        <v>47</v>
      </c>
      <c r="F35" s="45" t="s">
        <v>76</v>
      </c>
      <c r="G35" s="46">
        <v>2</v>
      </c>
      <c r="H35" s="46">
        <v>2</v>
      </c>
      <c r="I35" s="46">
        <f t="shared" ref="I35:I39" si="6">H35-G35</f>
        <v>0</v>
      </c>
      <c r="J35" s="53" t="s">
        <v>108</v>
      </c>
      <c r="K35" s="35" t="s">
        <v>107</v>
      </c>
    </row>
    <row r="36" spans="1:11" s="48" customFormat="1" ht="240" x14ac:dyDescent="0.25">
      <c r="A36" s="50"/>
      <c r="B36" s="43" t="s">
        <v>52</v>
      </c>
      <c r="C36" s="44" t="s">
        <v>61</v>
      </c>
      <c r="D36" s="43" t="s">
        <v>73</v>
      </c>
      <c r="E36" s="45" t="s">
        <v>61</v>
      </c>
      <c r="F36" s="45" t="s">
        <v>74</v>
      </c>
      <c r="G36" s="46">
        <v>1</v>
      </c>
      <c r="H36" s="46">
        <v>1</v>
      </c>
      <c r="I36" s="46">
        <f>H36-G36</f>
        <v>0</v>
      </c>
      <c r="J36" s="49"/>
      <c r="K36" s="35" t="s">
        <v>130</v>
      </c>
    </row>
    <row r="37" spans="1:11" s="48" customFormat="1" ht="13.2" x14ac:dyDescent="0.25">
      <c r="A37" s="50">
        <v>45983</v>
      </c>
      <c r="B37" s="43" t="s">
        <v>52</v>
      </c>
      <c r="C37" s="44" t="s">
        <v>114</v>
      </c>
      <c r="D37" s="43" t="s">
        <v>115</v>
      </c>
      <c r="E37" s="45" t="s">
        <v>47</v>
      </c>
      <c r="F37" s="45" t="s">
        <v>76</v>
      </c>
      <c r="G37" s="46">
        <v>4</v>
      </c>
      <c r="H37" s="46">
        <v>4</v>
      </c>
      <c r="I37" s="46">
        <f t="shared" si="6"/>
        <v>0</v>
      </c>
      <c r="J37" s="53" t="s">
        <v>117</v>
      </c>
      <c r="K37" s="35"/>
    </row>
    <row r="38" spans="1:11" s="48" customFormat="1" ht="13.2" x14ac:dyDescent="0.25">
      <c r="A38" s="50"/>
      <c r="B38" s="43" t="s">
        <v>52</v>
      </c>
      <c r="C38" s="44" t="s">
        <v>114</v>
      </c>
      <c r="D38" s="43" t="s">
        <v>115</v>
      </c>
      <c r="E38" s="45" t="s">
        <v>47</v>
      </c>
      <c r="F38" s="45" t="s">
        <v>76</v>
      </c>
      <c r="G38" s="46">
        <v>4</v>
      </c>
      <c r="H38" s="46">
        <v>4</v>
      </c>
      <c r="I38" s="46">
        <f t="shared" si="6"/>
        <v>0</v>
      </c>
      <c r="J38" s="53" t="s">
        <v>117</v>
      </c>
      <c r="K38" s="35"/>
    </row>
    <row r="39" spans="1:11" s="48" customFormat="1" ht="13.2" x14ac:dyDescent="0.25">
      <c r="A39" s="50">
        <v>45984</v>
      </c>
      <c r="B39" s="43" t="s">
        <v>52</v>
      </c>
      <c r="C39" s="44" t="s">
        <v>114</v>
      </c>
      <c r="D39" s="43" t="s">
        <v>115</v>
      </c>
      <c r="E39" s="45" t="s">
        <v>47</v>
      </c>
      <c r="F39" s="45" t="s">
        <v>76</v>
      </c>
      <c r="G39" s="46">
        <v>4</v>
      </c>
      <c r="H39" s="46">
        <v>4</v>
      </c>
      <c r="I39" s="46">
        <f t="shared" si="6"/>
        <v>0</v>
      </c>
      <c r="J39" s="53" t="s">
        <v>117</v>
      </c>
      <c r="K39" s="35" t="s">
        <v>116</v>
      </c>
    </row>
    <row r="40" spans="1:11" s="48" customFormat="1" ht="26.4" x14ac:dyDescent="0.25">
      <c r="A40" s="50"/>
      <c r="B40" s="43" t="s">
        <v>52</v>
      </c>
      <c r="C40" s="44" t="s">
        <v>92</v>
      </c>
      <c r="D40" s="43" t="s">
        <v>101</v>
      </c>
      <c r="E40" s="45" t="s">
        <v>47</v>
      </c>
      <c r="F40" s="45" t="s">
        <v>76</v>
      </c>
      <c r="G40" s="46">
        <v>2</v>
      </c>
      <c r="H40" s="46">
        <v>2</v>
      </c>
      <c r="I40" s="46">
        <f t="shared" ref="I40" si="7">H40-G40</f>
        <v>0</v>
      </c>
      <c r="J40" s="52" t="s">
        <v>112</v>
      </c>
      <c r="K40" s="35"/>
    </row>
    <row r="41" spans="1:11" ht="13.2" x14ac:dyDescent="0.25">
      <c r="A41" s="13"/>
      <c r="B41" s="15"/>
      <c r="C41" s="15"/>
      <c r="D41" s="15"/>
      <c r="E41" s="15" t="s">
        <v>17</v>
      </c>
      <c r="F41" s="15"/>
      <c r="G41" s="18">
        <f>SUM(G24:G40)</f>
        <v>36.5</v>
      </c>
      <c r="H41" s="18">
        <f>SUM(H24:H40)</f>
        <v>36.65</v>
      </c>
      <c r="I41" s="18">
        <f t="shared" si="4"/>
        <v>0.14999999999999858</v>
      </c>
      <c r="J41" s="19"/>
      <c r="K41" s="36"/>
    </row>
    <row r="42" spans="1:11" ht="18.75" customHeight="1" x14ac:dyDescent="0.25">
      <c r="A42" s="79" t="s">
        <v>20</v>
      </c>
      <c r="B42" s="63"/>
      <c r="C42" s="63"/>
      <c r="D42" s="63"/>
      <c r="E42" s="63"/>
      <c r="F42" s="63"/>
      <c r="G42" s="63"/>
      <c r="H42" s="63"/>
      <c r="I42" s="63"/>
      <c r="J42" s="63"/>
      <c r="K42" s="64"/>
    </row>
    <row r="43" spans="1:11" ht="13.2" x14ac:dyDescent="0.25">
      <c r="A43" s="21" t="s">
        <v>12</v>
      </c>
      <c r="B43" s="80" t="s">
        <v>13</v>
      </c>
      <c r="C43" s="63"/>
      <c r="D43" s="63"/>
      <c r="E43" s="63"/>
      <c r="F43" s="63"/>
      <c r="G43" s="63"/>
      <c r="H43" s="63"/>
      <c r="I43" s="63"/>
      <c r="J43" s="63"/>
      <c r="K43" s="64"/>
    </row>
    <row r="44" spans="1:11" ht="27.75" customHeight="1" x14ac:dyDescent="0.25">
      <c r="A44" s="22" t="s">
        <v>14</v>
      </c>
      <c r="B44" s="80" t="s">
        <v>15</v>
      </c>
      <c r="C44" s="63"/>
      <c r="D44" s="63"/>
      <c r="E44" s="63"/>
      <c r="F44" s="63"/>
      <c r="G44" s="63"/>
      <c r="H44" s="63"/>
      <c r="I44" s="63"/>
      <c r="J44" s="63"/>
      <c r="K44" s="64"/>
    </row>
    <row r="45" spans="1:11" s="48" customFormat="1" ht="13.2" x14ac:dyDescent="0.25">
      <c r="A45" s="50">
        <v>45985</v>
      </c>
      <c r="B45" s="43" t="s">
        <v>52</v>
      </c>
      <c r="C45" s="44" t="s">
        <v>44</v>
      </c>
      <c r="D45" s="43" t="s">
        <v>75</v>
      </c>
      <c r="E45" s="45" t="s">
        <v>44</v>
      </c>
      <c r="F45" s="45" t="s">
        <v>74</v>
      </c>
      <c r="G45" s="46">
        <v>0.25</v>
      </c>
      <c r="H45" s="46">
        <v>0.25</v>
      </c>
      <c r="I45" s="46">
        <f t="shared" ref="I45:I50" si="8">H45-G45</f>
        <v>0</v>
      </c>
      <c r="J45" s="49"/>
      <c r="K45" s="35"/>
    </row>
    <row r="46" spans="1:11" s="48" customFormat="1" ht="39.6" x14ac:dyDescent="0.25">
      <c r="B46" s="43" t="s">
        <v>52</v>
      </c>
      <c r="C46" s="44" t="s">
        <v>92</v>
      </c>
      <c r="D46" s="43" t="s">
        <v>101</v>
      </c>
      <c r="E46" s="45" t="s">
        <v>64</v>
      </c>
      <c r="F46" s="45" t="s">
        <v>76</v>
      </c>
      <c r="G46" s="46">
        <v>1</v>
      </c>
      <c r="H46" s="46">
        <v>1</v>
      </c>
      <c r="I46" s="46">
        <f t="shared" si="8"/>
        <v>0</v>
      </c>
      <c r="J46" s="52" t="s">
        <v>136</v>
      </c>
      <c r="K46" s="35" t="s">
        <v>118</v>
      </c>
    </row>
    <row r="47" spans="1:11" s="48" customFormat="1" ht="60" x14ac:dyDescent="0.25">
      <c r="B47" s="43" t="s">
        <v>52</v>
      </c>
      <c r="C47" s="44" t="s">
        <v>69</v>
      </c>
      <c r="D47" s="43" t="s">
        <v>119</v>
      </c>
      <c r="E47" s="45" t="s">
        <v>64</v>
      </c>
      <c r="F47" s="45" t="s">
        <v>76</v>
      </c>
      <c r="G47" s="46">
        <v>3</v>
      </c>
      <c r="H47" s="46">
        <v>3</v>
      </c>
      <c r="I47" s="46">
        <f t="shared" si="8"/>
        <v>0</v>
      </c>
      <c r="J47" s="52" t="s">
        <v>69</v>
      </c>
      <c r="K47" s="35" t="s">
        <v>120</v>
      </c>
    </row>
    <row r="48" spans="1:11" s="48" customFormat="1" ht="36" x14ac:dyDescent="0.25">
      <c r="B48" s="43" t="s">
        <v>52</v>
      </c>
      <c r="C48" s="44" t="s">
        <v>121</v>
      </c>
      <c r="D48" s="43" t="s">
        <v>122</v>
      </c>
      <c r="E48" s="45" t="s">
        <v>47</v>
      </c>
      <c r="F48" s="45" t="s">
        <v>123</v>
      </c>
      <c r="G48" s="46">
        <v>2</v>
      </c>
      <c r="H48" s="46">
        <v>2</v>
      </c>
      <c r="I48" s="46">
        <f t="shared" si="8"/>
        <v>0</v>
      </c>
      <c r="J48" s="52" t="s">
        <v>138</v>
      </c>
      <c r="K48" s="35" t="s">
        <v>124</v>
      </c>
    </row>
    <row r="49" spans="1:11" s="48" customFormat="1" ht="39.6" x14ac:dyDescent="0.25">
      <c r="B49" s="43" t="s">
        <v>52</v>
      </c>
      <c r="C49" s="44" t="s">
        <v>92</v>
      </c>
      <c r="D49" s="43" t="s">
        <v>101</v>
      </c>
      <c r="E49" s="45" t="s">
        <v>64</v>
      </c>
      <c r="F49" s="45" t="s">
        <v>76</v>
      </c>
      <c r="G49" s="46">
        <v>1</v>
      </c>
      <c r="H49" s="46">
        <v>1</v>
      </c>
      <c r="I49" s="46">
        <f t="shared" si="8"/>
        <v>0</v>
      </c>
      <c r="J49" s="52" t="s">
        <v>136</v>
      </c>
      <c r="K49" s="35"/>
    </row>
    <row r="50" spans="1:11" ht="348" x14ac:dyDescent="0.25">
      <c r="A50" s="48"/>
      <c r="B50" s="43" t="s">
        <v>52</v>
      </c>
      <c r="C50" s="44" t="s">
        <v>61</v>
      </c>
      <c r="D50" s="43" t="s">
        <v>128</v>
      </c>
      <c r="E50" s="45" t="s">
        <v>61</v>
      </c>
      <c r="F50" s="45" t="s">
        <v>74</v>
      </c>
      <c r="G50" s="46">
        <v>0.5</v>
      </c>
      <c r="H50" s="46">
        <v>0.5</v>
      </c>
      <c r="I50" s="46">
        <f t="shared" si="8"/>
        <v>0</v>
      </c>
      <c r="K50" s="35" t="s">
        <v>129</v>
      </c>
    </row>
    <row r="51" spans="1:11" s="48" customFormat="1" ht="48" x14ac:dyDescent="0.25">
      <c r="A51" s="50">
        <v>45986</v>
      </c>
      <c r="B51" s="43" t="s">
        <v>39</v>
      </c>
      <c r="C51" s="44" t="s">
        <v>16</v>
      </c>
      <c r="D51" s="43" t="s">
        <v>125</v>
      </c>
      <c r="E51" s="45"/>
      <c r="F51" s="45"/>
      <c r="G51" s="46"/>
      <c r="H51" s="46"/>
      <c r="I51" s="46">
        <f t="shared" ref="I51:I57" si="9">H51-G51</f>
        <v>0</v>
      </c>
      <c r="J51" s="49"/>
      <c r="K51" s="35" t="s">
        <v>126</v>
      </c>
    </row>
    <row r="52" spans="1:11" s="48" customFormat="1" ht="24" x14ac:dyDescent="0.25">
      <c r="A52" s="50">
        <v>45987</v>
      </c>
      <c r="B52" s="43" t="s">
        <v>52</v>
      </c>
      <c r="C52" s="44" t="s">
        <v>69</v>
      </c>
      <c r="D52" s="43" t="s">
        <v>119</v>
      </c>
      <c r="E52" s="45" t="s">
        <v>64</v>
      </c>
      <c r="F52" s="45" t="s">
        <v>76</v>
      </c>
      <c r="G52" s="46">
        <v>2</v>
      </c>
      <c r="H52" s="46">
        <v>2</v>
      </c>
      <c r="I52" s="46">
        <f t="shared" si="9"/>
        <v>0</v>
      </c>
      <c r="J52" s="52" t="s">
        <v>69</v>
      </c>
      <c r="K52" s="35" t="s">
        <v>127</v>
      </c>
    </row>
    <row r="53" spans="1:11" s="48" customFormat="1" ht="39.6" x14ac:dyDescent="0.25">
      <c r="A53" s="50"/>
      <c r="B53" s="43" t="s">
        <v>52</v>
      </c>
      <c r="C53" s="44" t="s">
        <v>92</v>
      </c>
      <c r="D53" s="43" t="s">
        <v>101</v>
      </c>
      <c r="E53" s="45" t="s">
        <v>64</v>
      </c>
      <c r="F53" s="45" t="s">
        <v>76</v>
      </c>
      <c r="G53" s="46">
        <v>1</v>
      </c>
      <c r="H53" s="46">
        <v>1</v>
      </c>
      <c r="I53" s="46">
        <f t="shared" si="9"/>
        <v>0</v>
      </c>
      <c r="J53" s="52" t="s">
        <v>135</v>
      </c>
      <c r="K53" s="35" t="s">
        <v>131</v>
      </c>
    </row>
    <row r="54" spans="1:11" s="48" customFormat="1" ht="24" x14ac:dyDescent="0.25">
      <c r="A54" s="42"/>
      <c r="B54" s="43" t="s">
        <v>52</v>
      </c>
      <c r="C54" s="44" t="s">
        <v>121</v>
      </c>
      <c r="D54" s="43" t="s">
        <v>122</v>
      </c>
      <c r="E54" s="45" t="s">
        <v>47</v>
      </c>
      <c r="F54" s="45" t="s">
        <v>123</v>
      </c>
      <c r="G54" s="46">
        <v>4</v>
      </c>
      <c r="H54" s="46">
        <v>4</v>
      </c>
      <c r="I54" s="46">
        <f t="shared" si="9"/>
        <v>0</v>
      </c>
      <c r="J54" s="52" t="s">
        <v>138</v>
      </c>
      <c r="K54" s="35" t="s">
        <v>132</v>
      </c>
    </row>
    <row r="55" spans="1:11" s="48" customFormat="1" ht="96" x14ac:dyDescent="0.25">
      <c r="B55" s="43" t="s">
        <v>52</v>
      </c>
      <c r="C55" s="44" t="s">
        <v>121</v>
      </c>
      <c r="D55" s="43" t="s">
        <v>122</v>
      </c>
      <c r="E55" s="45" t="s">
        <v>62</v>
      </c>
      <c r="F55" s="45" t="s">
        <v>123</v>
      </c>
      <c r="G55" s="46">
        <v>4</v>
      </c>
      <c r="H55" s="46">
        <v>4</v>
      </c>
      <c r="I55" s="46">
        <f t="shared" si="9"/>
        <v>0</v>
      </c>
      <c r="J55" s="52" t="s">
        <v>138</v>
      </c>
      <c r="K55" s="35" t="s">
        <v>133</v>
      </c>
    </row>
    <row r="56" spans="1:11" s="48" customFormat="1" ht="60" x14ac:dyDescent="0.25">
      <c r="B56" s="43" t="s">
        <v>52</v>
      </c>
      <c r="C56" s="44" t="s">
        <v>121</v>
      </c>
      <c r="D56" s="43" t="s">
        <v>122</v>
      </c>
      <c r="E56" s="45" t="s">
        <v>47</v>
      </c>
      <c r="F56" s="45" t="s">
        <v>123</v>
      </c>
      <c r="G56" s="46">
        <v>4</v>
      </c>
      <c r="H56" s="46">
        <v>4</v>
      </c>
      <c r="I56" s="46">
        <f t="shared" si="9"/>
        <v>0</v>
      </c>
      <c r="J56" s="52" t="s">
        <v>138</v>
      </c>
      <c r="K56" s="35" t="s">
        <v>134</v>
      </c>
    </row>
    <row r="57" spans="1:11" s="48" customFormat="1" ht="409.2" customHeight="1" x14ac:dyDescent="0.25">
      <c r="A57" s="50">
        <v>45988</v>
      </c>
      <c r="B57" s="43" t="s">
        <v>52</v>
      </c>
      <c r="C57" s="44" t="s">
        <v>61</v>
      </c>
      <c r="D57" s="43" t="s">
        <v>61</v>
      </c>
      <c r="E57" s="45" t="s">
        <v>61</v>
      </c>
      <c r="F57" s="45" t="s">
        <v>74</v>
      </c>
      <c r="G57" s="46">
        <v>2</v>
      </c>
      <c r="H57" s="46">
        <v>2</v>
      </c>
      <c r="I57" s="46">
        <f t="shared" si="9"/>
        <v>0</v>
      </c>
      <c r="J57" s="49"/>
      <c r="K57" s="35" t="s">
        <v>139</v>
      </c>
    </row>
    <row r="58" spans="1:11" s="48" customFormat="1" ht="13.2" x14ac:dyDescent="0.25">
      <c r="B58" s="43" t="s">
        <v>52</v>
      </c>
      <c r="C58" s="44" t="s">
        <v>121</v>
      </c>
      <c r="D58" s="43" t="s">
        <v>122</v>
      </c>
      <c r="E58" s="45" t="s">
        <v>47</v>
      </c>
      <c r="F58" s="45" t="s">
        <v>123</v>
      </c>
      <c r="G58" s="46">
        <v>4</v>
      </c>
      <c r="H58" s="46">
        <v>4</v>
      </c>
      <c r="I58" s="46">
        <v>0</v>
      </c>
      <c r="J58" s="52" t="s">
        <v>138</v>
      </c>
      <c r="K58" s="35" t="s">
        <v>140</v>
      </c>
    </row>
    <row r="59" spans="1:11" s="48" customFormat="1" ht="13.2" x14ac:dyDescent="0.25">
      <c r="B59" s="43" t="s">
        <v>52</v>
      </c>
      <c r="C59" s="44" t="s">
        <v>92</v>
      </c>
      <c r="D59" s="43" t="s">
        <v>142</v>
      </c>
      <c r="E59" s="45" t="s">
        <v>64</v>
      </c>
      <c r="F59" s="45" t="s">
        <v>123</v>
      </c>
      <c r="G59" s="46">
        <v>3</v>
      </c>
      <c r="H59" s="46">
        <v>3</v>
      </c>
      <c r="I59" s="46">
        <f t="shared" ref="I59:I63" si="10">H59-G59</f>
        <v>0</v>
      </c>
      <c r="J59" s="49"/>
      <c r="K59" s="35"/>
    </row>
    <row r="60" spans="1:11" s="48" customFormat="1" ht="24" x14ac:dyDescent="0.25">
      <c r="A60" s="50">
        <v>45989</v>
      </c>
      <c r="B60" s="43" t="s">
        <v>52</v>
      </c>
      <c r="C60" s="44" t="s">
        <v>141</v>
      </c>
      <c r="D60" s="43" t="s">
        <v>145</v>
      </c>
      <c r="E60" s="45" t="s">
        <v>47</v>
      </c>
      <c r="F60" s="45" t="s">
        <v>123</v>
      </c>
      <c r="G60" s="46">
        <v>4</v>
      </c>
      <c r="H60" s="46">
        <v>4</v>
      </c>
      <c r="I60" s="46">
        <f t="shared" si="10"/>
        <v>0</v>
      </c>
      <c r="J60" s="52" t="s">
        <v>141</v>
      </c>
      <c r="K60" s="35" t="s">
        <v>143</v>
      </c>
    </row>
    <row r="61" spans="1:11" s="48" customFormat="1" ht="48" x14ac:dyDescent="0.25">
      <c r="B61" s="43" t="s">
        <v>52</v>
      </c>
      <c r="C61" s="44" t="s">
        <v>141</v>
      </c>
      <c r="D61" s="43" t="s">
        <v>145</v>
      </c>
      <c r="E61" s="45" t="s">
        <v>47</v>
      </c>
      <c r="F61" s="45" t="s">
        <v>123</v>
      </c>
      <c r="G61" s="46">
        <v>4</v>
      </c>
      <c r="H61" s="46">
        <v>4</v>
      </c>
      <c r="I61" s="46">
        <f t="shared" si="10"/>
        <v>0</v>
      </c>
      <c r="J61" s="52" t="s">
        <v>141</v>
      </c>
      <c r="K61" s="35" t="s">
        <v>144</v>
      </c>
    </row>
    <row r="62" spans="1:11" s="48" customFormat="1" ht="24" x14ac:dyDescent="0.25">
      <c r="A62" s="50">
        <v>45990</v>
      </c>
      <c r="B62" s="43" t="s">
        <v>52</v>
      </c>
      <c r="C62" s="44" t="s">
        <v>141</v>
      </c>
      <c r="D62" s="43" t="s">
        <v>145</v>
      </c>
      <c r="E62" s="45" t="s">
        <v>62</v>
      </c>
      <c r="F62" s="45" t="s">
        <v>123</v>
      </c>
      <c r="G62" s="46">
        <v>2</v>
      </c>
      <c r="H62" s="46">
        <v>2</v>
      </c>
      <c r="I62" s="46">
        <f t="shared" si="10"/>
        <v>0</v>
      </c>
      <c r="J62" s="52" t="s">
        <v>141</v>
      </c>
      <c r="K62" s="35" t="s">
        <v>146</v>
      </c>
    </row>
    <row r="63" spans="1:11" s="48" customFormat="1" ht="24" x14ac:dyDescent="0.25">
      <c r="A63" s="42"/>
      <c r="B63" s="43" t="s">
        <v>52</v>
      </c>
      <c r="C63" s="44" t="s">
        <v>141</v>
      </c>
      <c r="D63" s="43" t="s">
        <v>145</v>
      </c>
      <c r="E63" s="45" t="s">
        <v>47</v>
      </c>
      <c r="F63" s="45" t="s">
        <v>123</v>
      </c>
      <c r="G63" s="46">
        <v>4</v>
      </c>
      <c r="H63" s="46">
        <v>4</v>
      </c>
      <c r="I63" s="46">
        <f t="shared" si="10"/>
        <v>0</v>
      </c>
      <c r="J63" s="52" t="s">
        <v>141</v>
      </c>
      <c r="K63" s="35" t="s">
        <v>147</v>
      </c>
    </row>
    <row r="64" spans="1:11" s="48" customFormat="1" ht="36" x14ac:dyDescent="0.25">
      <c r="A64" s="42"/>
      <c r="B64" s="43" t="s">
        <v>43</v>
      </c>
      <c r="C64" s="44" t="s">
        <v>141</v>
      </c>
      <c r="D64" s="43" t="s">
        <v>145</v>
      </c>
      <c r="E64" s="45" t="s">
        <v>62</v>
      </c>
      <c r="F64" s="45" t="s">
        <v>123</v>
      </c>
      <c r="G64" s="46">
        <v>1</v>
      </c>
      <c r="H64" s="46">
        <v>1</v>
      </c>
      <c r="I64" s="46">
        <f t="shared" ref="I64:I65" si="11">H64-G64</f>
        <v>0</v>
      </c>
      <c r="J64" s="52" t="s">
        <v>141</v>
      </c>
      <c r="K64" s="35" t="s">
        <v>148</v>
      </c>
    </row>
    <row r="65" spans="1:11" s="48" customFormat="1" ht="24" x14ac:dyDescent="0.25">
      <c r="A65" s="42"/>
      <c r="B65" s="43" t="s">
        <v>52</v>
      </c>
      <c r="C65" s="44" t="s">
        <v>141</v>
      </c>
      <c r="D65" s="43" t="s">
        <v>145</v>
      </c>
      <c r="E65" s="45" t="s">
        <v>47</v>
      </c>
      <c r="F65" s="45" t="s">
        <v>123</v>
      </c>
      <c r="G65" s="46">
        <v>4</v>
      </c>
      <c r="H65" s="46">
        <v>4</v>
      </c>
      <c r="I65" s="46">
        <f t="shared" si="11"/>
        <v>0</v>
      </c>
      <c r="J65" s="52" t="s">
        <v>141</v>
      </c>
      <c r="K65" s="35" t="s">
        <v>149</v>
      </c>
    </row>
    <row r="66" spans="1:11" ht="13.2" x14ac:dyDescent="0.25">
      <c r="A66" s="13"/>
      <c r="B66" s="15"/>
      <c r="C66" s="15"/>
      <c r="D66" s="15"/>
      <c r="E66" s="15" t="s">
        <v>17</v>
      </c>
      <c r="F66" s="15"/>
      <c r="G66" s="18">
        <f>SUM(G45:G65)</f>
        <v>50.75</v>
      </c>
      <c r="H66" s="18">
        <f>SUM(H45:H65)</f>
        <v>50.75</v>
      </c>
      <c r="I66" s="18">
        <f t="shared" ref="I66" si="12">H66-G66</f>
        <v>0</v>
      </c>
      <c r="J66" s="19"/>
      <c r="K66" s="36"/>
    </row>
    <row r="67" spans="1:11" ht="18.75" customHeight="1" x14ac:dyDescent="0.25">
      <c r="A67" s="65" t="s">
        <v>162</v>
      </c>
      <c r="B67" s="63"/>
      <c r="C67" s="63"/>
      <c r="D67" s="63"/>
      <c r="E67" s="63"/>
      <c r="F67" s="63"/>
      <c r="G67" s="63"/>
      <c r="H67" s="63"/>
      <c r="I67" s="63"/>
      <c r="J67" s="63"/>
      <c r="K67" s="64"/>
    </row>
    <row r="68" spans="1:11" ht="13.2" x14ac:dyDescent="0.25">
      <c r="A68" s="23" t="s">
        <v>12</v>
      </c>
      <c r="B68" s="66" t="s">
        <v>13</v>
      </c>
      <c r="C68" s="63"/>
      <c r="D68" s="63"/>
      <c r="E68" s="63"/>
      <c r="F68" s="63"/>
      <c r="G68" s="63"/>
      <c r="H68" s="63"/>
      <c r="I68" s="63"/>
      <c r="J68" s="63"/>
      <c r="K68" s="64"/>
    </row>
    <row r="69" spans="1:11" ht="27.75" customHeight="1" x14ac:dyDescent="0.25">
      <c r="A69" s="24" t="s">
        <v>14</v>
      </c>
      <c r="B69" s="66" t="s">
        <v>15</v>
      </c>
      <c r="C69" s="63"/>
      <c r="D69" s="63"/>
      <c r="E69" s="63"/>
      <c r="F69" s="63"/>
      <c r="G69" s="63"/>
      <c r="H69" s="63"/>
      <c r="I69" s="63"/>
      <c r="J69" s="63"/>
      <c r="K69" s="64"/>
    </row>
    <row r="70" spans="1:11" s="48" customFormat="1" ht="36" x14ac:dyDescent="0.25">
      <c r="A70" s="42">
        <v>45992</v>
      </c>
      <c r="B70" s="43" t="s">
        <v>52</v>
      </c>
      <c r="C70" s="44" t="s">
        <v>151</v>
      </c>
      <c r="D70" s="43" t="s">
        <v>152</v>
      </c>
      <c r="E70" s="45" t="s">
        <v>62</v>
      </c>
      <c r="F70" s="45" t="s">
        <v>123</v>
      </c>
      <c r="G70" s="46">
        <v>4</v>
      </c>
      <c r="H70" s="46">
        <v>4</v>
      </c>
      <c r="I70" s="46">
        <f t="shared" ref="I70" si="13">H70-G70</f>
        <v>0</v>
      </c>
      <c r="J70" s="49"/>
      <c r="K70" s="35" t="s">
        <v>150</v>
      </c>
    </row>
    <row r="71" spans="1:11" s="48" customFormat="1" ht="48" x14ac:dyDescent="0.25">
      <c r="B71" s="43" t="s">
        <v>52</v>
      </c>
      <c r="C71" s="44" t="s">
        <v>151</v>
      </c>
      <c r="D71" s="43" t="s">
        <v>153</v>
      </c>
      <c r="E71" s="45" t="s">
        <v>53</v>
      </c>
      <c r="F71" s="45" t="s">
        <v>123</v>
      </c>
      <c r="G71" s="46">
        <v>4</v>
      </c>
      <c r="H71" s="46">
        <v>4</v>
      </c>
      <c r="I71" s="46">
        <f t="shared" ref="I71:I88" si="14">H71-G71</f>
        <v>0</v>
      </c>
      <c r="J71" s="49"/>
      <c r="K71" s="35" t="s">
        <v>154</v>
      </c>
    </row>
    <row r="72" spans="1:11" s="48" customFormat="1" ht="36" x14ac:dyDescent="0.25">
      <c r="B72" s="43" t="s">
        <v>52</v>
      </c>
      <c r="C72" s="44" t="s">
        <v>141</v>
      </c>
      <c r="D72" s="43" t="s">
        <v>145</v>
      </c>
      <c r="E72" s="45" t="s">
        <v>47</v>
      </c>
      <c r="F72" s="45" t="s">
        <v>123</v>
      </c>
      <c r="G72" s="46">
        <v>2</v>
      </c>
      <c r="H72" s="46">
        <v>2</v>
      </c>
      <c r="I72" s="46">
        <f t="shared" si="14"/>
        <v>0</v>
      </c>
      <c r="J72" s="52" t="s">
        <v>141</v>
      </c>
      <c r="K72" s="35" t="s">
        <v>155</v>
      </c>
    </row>
    <row r="73" spans="1:11" s="48" customFormat="1" ht="60" x14ac:dyDescent="0.25">
      <c r="B73" s="43" t="s">
        <v>52</v>
      </c>
      <c r="C73" s="44" t="s">
        <v>141</v>
      </c>
      <c r="D73" s="43" t="s">
        <v>145</v>
      </c>
      <c r="E73" s="45" t="s">
        <v>62</v>
      </c>
      <c r="F73" s="45" t="s">
        <v>123</v>
      </c>
      <c r="G73" s="46">
        <v>4</v>
      </c>
      <c r="H73" s="46">
        <v>4</v>
      </c>
      <c r="I73" s="46">
        <f t="shared" si="14"/>
        <v>0</v>
      </c>
      <c r="J73" s="52" t="s">
        <v>141</v>
      </c>
      <c r="K73" s="35" t="s">
        <v>156</v>
      </c>
    </row>
    <row r="74" spans="1:11" s="48" customFormat="1" ht="72" x14ac:dyDescent="0.25">
      <c r="A74" s="42">
        <v>45993</v>
      </c>
      <c r="B74" s="43" t="s">
        <v>52</v>
      </c>
      <c r="C74" s="44" t="s">
        <v>141</v>
      </c>
      <c r="D74" s="43" t="s">
        <v>145</v>
      </c>
      <c r="E74" s="45" t="s">
        <v>53</v>
      </c>
      <c r="F74" s="45" t="s">
        <v>123</v>
      </c>
      <c r="G74" s="46">
        <v>2</v>
      </c>
      <c r="H74" s="46">
        <v>2</v>
      </c>
      <c r="I74" s="46">
        <f t="shared" si="14"/>
        <v>0</v>
      </c>
      <c r="J74" s="52" t="s">
        <v>141</v>
      </c>
      <c r="K74" s="35" t="s">
        <v>157</v>
      </c>
    </row>
    <row r="75" spans="1:11" s="48" customFormat="1" ht="24" x14ac:dyDescent="0.25">
      <c r="A75" s="42"/>
      <c r="B75" s="43" t="s">
        <v>52</v>
      </c>
      <c r="C75" s="44" t="s">
        <v>158</v>
      </c>
      <c r="D75" s="43" t="s">
        <v>159</v>
      </c>
      <c r="E75" s="45" t="s">
        <v>47</v>
      </c>
      <c r="F75" s="45" t="s">
        <v>123</v>
      </c>
      <c r="G75" s="46">
        <v>4</v>
      </c>
      <c r="H75" s="46">
        <v>4</v>
      </c>
      <c r="I75" s="46">
        <f t="shared" si="14"/>
        <v>0</v>
      </c>
      <c r="J75" s="52" t="s">
        <v>199</v>
      </c>
      <c r="K75" s="35" t="s">
        <v>160</v>
      </c>
    </row>
    <row r="76" spans="1:11" s="48" customFormat="1" ht="24" x14ac:dyDescent="0.25">
      <c r="A76" s="42"/>
      <c r="B76" s="43" t="s">
        <v>52</v>
      </c>
      <c r="C76" s="44" t="s">
        <v>158</v>
      </c>
      <c r="D76" s="43" t="s">
        <v>159</v>
      </c>
      <c r="E76" s="45" t="s">
        <v>62</v>
      </c>
      <c r="F76" s="45" t="s">
        <v>123</v>
      </c>
      <c r="G76" s="46">
        <v>1</v>
      </c>
      <c r="H76" s="46">
        <v>1</v>
      </c>
      <c r="I76" s="46">
        <f t="shared" si="14"/>
        <v>0</v>
      </c>
      <c r="J76" s="52" t="s">
        <v>199</v>
      </c>
      <c r="K76" s="35" t="s">
        <v>161</v>
      </c>
    </row>
    <row r="77" spans="1:11" s="48" customFormat="1" ht="13.2" x14ac:dyDescent="0.25">
      <c r="A77" s="42"/>
      <c r="B77" s="43" t="s">
        <v>52</v>
      </c>
      <c r="C77" s="44" t="s">
        <v>158</v>
      </c>
      <c r="D77" s="43" t="s">
        <v>159</v>
      </c>
      <c r="E77" s="45" t="s">
        <v>47</v>
      </c>
      <c r="F77" s="45" t="s">
        <v>123</v>
      </c>
      <c r="G77" s="46">
        <v>4</v>
      </c>
      <c r="H77" s="46">
        <v>4</v>
      </c>
      <c r="I77" s="46">
        <f t="shared" si="14"/>
        <v>0</v>
      </c>
      <c r="J77" s="52" t="s">
        <v>199</v>
      </c>
      <c r="K77" s="35"/>
    </row>
    <row r="78" spans="1:11" s="48" customFormat="1" ht="372" x14ac:dyDescent="0.25">
      <c r="B78" s="43" t="s">
        <v>52</v>
      </c>
      <c r="C78" s="44" t="s">
        <v>61</v>
      </c>
      <c r="D78" s="43" t="s">
        <v>61</v>
      </c>
      <c r="E78" s="45" t="s">
        <v>61</v>
      </c>
      <c r="F78" s="45" t="s">
        <v>74</v>
      </c>
      <c r="G78" s="46">
        <v>2</v>
      </c>
      <c r="H78" s="46">
        <v>2</v>
      </c>
      <c r="I78" s="46">
        <f>H78-G78</f>
        <v>0</v>
      </c>
      <c r="J78" s="49"/>
      <c r="K78" s="35" t="s">
        <v>168</v>
      </c>
    </row>
    <row r="79" spans="1:11" s="48" customFormat="1" ht="24" x14ac:dyDescent="0.25">
      <c r="A79" s="42">
        <v>45994</v>
      </c>
      <c r="B79" s="43" t="s">
        <v>52</v>
      </c>
      <c r="C79" s="44" t="s">
        <v>164</v>
      </c>
      <c r="D79" s="43" t="s">
        <v>165</v>
      </c>
      <c r="E79" s="45" t="s">
        <v>64</v>
      </c>
      <c r="F79" s="45" t="s">
        <v>166</v>
      </c>
      <c r="G79" s="46">
        <v>4</v>
      </c>
      <c r="H79" s="46">
        <v>4</v>
      </c>
      <c r="I79" s="46">
        <f>H79-G79</f>
        <v>0</v>
      </c>
      <c r="J79" s="49"/>
      <c r="K79" s="35" t="s">
        <v>167</v>
      </c>
    </row>
    <row r="80" spans="1:11" s="48" customFormat="1" ht="48" x14ac:dyDescent="0.25">
      <c r="A80" s="42"/>
      <c r="B80" s="43" t="s">
        <v>52</v>
      </c>
      <c r="C80" s="44" t="s">
        <v>158</v>
      </c>
      <c r="D80" s="43" t="s">
        <v>159</v>
      </c>
      <c r="E80" s="45" t="s">
        <v>47</v>
      </c>
      <c r="F80" s="45" t="s">
        <v>123</v>
      </c>
      <c r="G80" s="46">
        <v>4</v>
      </c>
      <c r="H80" s="46">
        <v>4</v>
      </c>
      <c r="I80" s="46">
        <f t="shared" ref="I80:I86" si="15">H80-G80</f>
        <v>0</v>
      </c>
      <c r="J80" s="52" t="s">
        <v>199</v>
      </c>
      <c r="K80" s="35" t="s">
        <v>169</v>
      </c>
    </row>
    <row r="81" spans="1:11" s="48" customFormat="1" ht="60" x14ac:dyDescent="0.25">
      <c r="A81" s="42"/>
      <c r="B81" s="43" t="s">
        <v>52</v>
      </c>
      <c r="C81" s="44" t="s">
        <v>158</v>
      </c>
      <c r="D81" s="43" t="s">
        <v>159</v>
      </c>
      <c r="E81" s="45" t="s">
        <v>47</v>
      </c>
      <c r="F81" s="45" t="s">
        <v>123</v>
      </c>
      <c r="G81" s="46">
        <v>4</v>
      </c>
      <c r="H81" s="46">
        <v>4</v>
      </c>
      <c r="I81" s="46">
        <f t="shared" si="15"/>
        <v>0</v>
      </c>
      <c r="J81" s="52" t="s">
        <v>199</v>
      </c>
      <c r="K81" s="35" t="s">
        <v>170</v>
      </c>
    </row>
    <row r="82" spans="1:11" s="48" customFormat="1" ht="24" x14ac:dyDescent="0.25">
      <c r="A82" s="42"/>
      <c r="B82" s="43" t="s">
        <v>52</v>
      </c>
      <c r="C82" s="44" t="s">
        <v>158</v>
      </c>
      <c r="D82" s="43" t="s">
        <v>159</v>
      </c>
      <c r="E82" s="45" t="s">
        <v>47</v>
      </c>
      <c r="F82" s="45" t="s">
        <v>123</v>
      </c>
      <c r="G82" s="46">
        <v>4</v>
      </c>
      <c r="H82" s="46">
        <v>4</v>
      </c>
      <c r="I82" s="46">
        <f t="shared" si="15"/>
        <v>0</v>
      </c>
      <c r="J82" s="52" t="s">
        <v>199</v>
      </c>
      <c r="K82" s="35" t="s">
        <v>171</v>
      </c>
    </row>
    <row r="83" spans="1:11" s="48" customFormat="1" ht="60" x14ac:dyDescent="0.25">
      <c r="A83" s="42">
        <v>45995</v>
      </c>
      <c r="B83" s="43" t="s">
        <v>52</v>
      </c>
      <c r="C83" s="44" t="s">
        <v>172</v>
      </c>
      <c r="D83" s="43" t="s">
        <v>173</v>
      </c>
      <c r="E83" s="45" t="s">
        <v>47</v>
      </c>
      <c r="F83" s="45" t="s">
        <v>123</v>
      </c>
      <c r="G83" s="46">
        <v>4</v>
      </c>
      <c r="H83" s="46">
        <v>4</v>
      </c>
      <c r="I83" s="46">
        <f t="shared" si="15"/>
        <v>0</v>
      </c>
      <c r="J83" s="52" t="s">
        <v>172</v>
      </c>
      <c r="K83" s="35" t="s">
        <v>174</v>
      </c>
    </row>
    <row r="84" spans="1:11" s="48" customFormat="1" ht="72" x14ac:dyDescent="0.25">
      <c r="A84" s="42"/>
      <c r="B84" s="43" t="s">
        <v>52</v>
      </c>
      <c r="C84" s="44" t="s">
        <v>172</v>
      </c>
      <c r="D84" s="43" t="s">
        <v>173</v>
      </c>
      <c r="E84" s="45" t="s">
        <v>47</v>
      </c>
      <c r="F84" s="45" t="s">
        <v>123</v>
      </c>
      <c r="G84" s="46">
        <v>4</v>
      </c>
      <c r="H84" s="46">
        <v>4</v>
      </c>
      <c r="I84" s="46">
        <f t="shared" si="15"/>
        <v>0</v>
      </c>
      <c r="J84" s="52" t="s">
        <v>172</v>
      </c>
      <c r="K84" s="35" t="s">
        <v>175</v>
      </c>
    </row>
    <row r="85" spans="1:11" s="48" customFormat="1" ht="276" x14ac:dyDescent="0.25">
      <c r="A85" s="42">
        <v>45996</v>
      </c>
      <c r="B85" s="43" t="s">
        <v>52</v>
      </c>
      <c r="C85" s="44" t="s">
        <v>61</v>
      </c>
      <c r="D85" s="43" t="s">
        <v>61</v>
      </c>
      <c r="E85" s="45" t="s">
        <v>61</v>
      </c>
      <c r="F85" s="45" t="s">
        <v>74</v>
      </c>
      <c r="G85" s="46">
        <v>1</v>
      </c>
      <c r="H85" s="46">
        <v>1</v>
      </c>
      <c r="I85" s="46">
        <f t="shared" si="15"/>
        <v>0</v>
      </c>
      <c r="J85" s="49"/>
      <c r="K85" s="35" t="s">
        <v>176</v>
      </c>
    </row>
    <row r="86" spans="1:11" s="48" customFormat="1" ht="216" x14ac:dyDescent="0.25">
      <c r="A86" s="42"/>
      <c r="B86" s="43" t="s">
        <v>52</v>
      </c>
      <c r="C86" s="44" t="s">
        <v>61</v>
      </c>
      <c r="D86" s="43" t="s">
        <v>61</v>
      </c>
      <c r="E86" s="45" t="s">
        <v>61</v>
      </c>
      <c r="F86" s="45" t="s">
        <v>74</v>
      </c>
      <c r="G86" s="46">
        <v>1</v>
      </c>
      <c r="H86" s="46">
        <v>1</v>
      </c>
      <c r="I86" s="46">
        <f t="shared" si="15"/>
        <v>0</v>
      </c>
      <c r="J86" s="49"/>
      <c r="K86" s="35" t="s">
        <v>177</v>
      </c>
    </row>
    <row r="87" spans="1:11" s="48" customFormat="1" ht="13.2" x14ac:dyDescent="0.25">
      <c r="A87" s="42"/>
      <c r="B87" s="43" t="s">
        <v>58</v>
      </c>
      <c r="C87" s="44" t="s">
        <v>172</v>
      </c>
      <c r="D87" s="43" t="s">
        <v>173</v>
      </c>
      <c r="E87" s="45" t="s">
        <v>47</v>
      </c>
      <c r="F87" s="45" t="s">
        <v>123</v>
      </c>
      <c r="G87" s="46">
        <v>4</v>
      </c>
      <c r="H87" s="46">
        <v>0</v>
      </c>
      <c r="I87" s="46">
        <f t="shared" ref="I87" si="16">H87-G87</f>
        <v>-4</v>
      </c>
      <c r="J87" s="49"/>
      <c r="K87" s="35" t="s">
        <v>178</v>
      </c>
    </row>
    <row r="88" spans="1:11" ht="13.2" x14ac:dyDescent="0.25">
      <c r="A88" s="13"/>
      <c r="B88" s="15"/>
      <c r="C88" s="15"/>
      <c r="D88" s="15"/>
      <c r="E88" s="15" t="s">
        <v>17</v>
      </c>
      <c r="F88" s="15"/>
      <c r="G88" s="18">
        <f>SUM(G70:G87)</f>
        <v>57</v>
      </c>
      <c r="H88" s="18">
        <f>SUM(H70:H87)</f>
        <v>53</v>
      </c>
      <c r="I88" s="18">
        <f t="shared" si="14"/>
        <v>-4</v>
      </c>
      <c r="J88" s="19"/>
      <c r="K88" s="36"/>
    </row>
    <row r="89" spans="1:11" ht="18.75" customHeight="1" x14ac:dyDescent="0.25">
      <c r="A89" s="67" t="s">
        <v>21</v>
      </c>
      <c r="B89" s="63"/>
      <c r="C89" s="63"/>
      <c r="D89" s="63"/>
      <c r="E89" s="63"/>
      <c r="F89" s="63"/>
      <c r="G89" s="63"/>
      <c r="H89" s="63"/>
      <c r="I89" s="63"/>
      <c r="J89" s="63"/>
      <c r="K89" s="64"/>
    </row>
    <row r="90" spans="1:11" ht="13.2" x14ac:dyDescent="0.25">
      <c r="A90" s="25" t="s">
        <v>12</v>
      </c>
      <c r="B90" s="81" t="s">
        <v>13</v>
      </c>
      <c r="C90" s="63"/>
      <c r="D90" s="63"/>
      <c r="E90" s="63"/>
      <c r="F90" s="63"/>
      <c r="G90" s="63"/>
      <c r="H90" s="63"/>
      <c r="I90" s="63"/>
      <c r="J90" s="63"/>
      <c r="K90" s="64"/>
    </row>
    <row r="91" spans="1:11" ht="27.75" customHeight="1" x14ac:dyDescent="0.25">
      <c r="A91" s="26" t="s">
        <v>14</v>
      </c>
      <c r="B91" s="81" t="s">
        <v>15</v>
      </c>
      <c r="C91" s="63"/>
      <c r="D91" s="63"/>
      <c r="E91" s="63"/>
      <c r="F91" s="63"/>
      <c r="G91" s="63"/>
      <c r="H91" s="63"/>
      <c r="I91" s="63"/>
      <c r="J91" s="63"/>
      <c r="K91" s="64"/>
    </row>
    <row r="92" spans="1:11" s="48" customFormat="1" ht="13.2" x14ac:dyDescent="0.25">
      <c r="A92" s="42">
        <v>45999</v>
      </c>
      <c r="B92" s="43" t="s">
        <v>52</v>
      </c>
      <c r="C92" s="44" t="s">
        <v>44</v>
      </c>
      <c r="D92" s="43" t="s">
        <v>75</v>
      </c>
      <c r="E92" s="45" t="s">
        <v>44</v>
      </c>
      <c r="F92" s="45" t="s">
        <v>74</v>
      </c>
      <c r="G92" s="46">
        <v>0.25</v>
      </c>
      <c r="H92" s="46">
        <v>0.25</v>
      </c>
      <c r="I92" s="46">
        <f t="shared" ref="I92:I109" si="17">H92-G92</f>
        <v>0</v>
      </c>
      <c r="J92" s="49"/>
      <c r="K92" s="35"/>
    </row>
    <row r="93" spans="1:11" s="48" customFormat="1" ht="13.2" x14ac:dyDescent="0.25">
      <c r="B93" s="43" t="s">
        <v>52</v>
      </c>
      <c r="C93" s="44" t="s">
        <v>172</v>
      </c>
      <c r="D93" s="43" t="s">
        <v>173</v>
      </c>
      <c r="E93" s="45" t="s">
        <v>47</v>
      </c>
      <c r="F93" s="45" t="s">
        <v>123</v>
      </c>
      <c r="G93" s="46">
        <v>4</v>
      </c>
      <c r="H93" s="46">
        <v>4</v>
      </c>
      <c r="I93" s="46">
        <f t="shared" si="17"/>
        <v>0</v>
      </c>
      <c r="J93" s="52" t="s">
        <v>172</v>
      </c>
      <c r="K93" s="35" t="s">
        <v>181</v>
      </c>
    </row>
    <row r="94" spans="1:11" s="48" customFormat="1" ht="13.2" x14ac:dyDescent="0.25">
      <c r="B94" s="43" t="s">
        <v>52</v>
      </c>
      <c r="C94" s="44" t="s">
        <v>179</v>
      </c>
      <c r="D94" s="43" t="s">
        <v>180</v>
      </c>
      <c r="E94" s="45" t="s">
        <v>47</v>
      </c>
      <c r="F94" s="45" t="s">
        <v>123</v>
      </c>
      <c r="G94" s="46">
        <v>4</v>
      </c>
      <c r="H94" s="46">
        <v>4</v>
      </c>
      <c r="I94" s="46">
        <f t="shared" si="17"/>
        <v>0</v>
      </c>
      <c r="J94" s="52" t="s">
        <v>179</v>
      </c>
      <c r="K94" s="35" t="s">
        <v>182</v>
      </c>
    </row>
    <row r="95" spans="1:11" s="48" customFormat="1" ht="13.2" x14ac:dyDescent="0.25">
      <c r="A95" s="42">
        <v>46000</v>
      </c>
      <c r="B95" s="43" t="s">
        <v>52</v>
      </c>
      <c r="C95" s="44" t="s">
        <v>78</v>
      </c>
      <c r="D95" s="43" t="s">
        <v>77</v>
      </c>
      <c r="E95" s="45" t="s">
        <v>39</v>
      </c>
      <c r="F95" s="45"/>
      <c r="G95" s="46">
        <v>4</v>
      </c>
      <c r="H95" s="46">
        <v>4</v>
      </c>
      <c r="I95" s="46">
        <f t="shared" si="17"/>
        <v>0</v>
      </c>
      <c r="J95" s="49"/>
      <c r="K95" s="35"/>
    </row>
    <row r="96" spans="1:11" s="48" customFormat="1" ht="13.2" x14ac:dyDescent="0.25">
      <c r="A96" s="42">
        <v>46001</v>
      </c>
      <c r="B96" s="43" t="s">
        <v>52</v>
      </c>
      <c r="C96" s="44" t="s">
        <v>44</v>
      </c>
      <c r="D96" s="43" t="s">
        <v>75</v>
      </c>
      <c r="E96" s="45" t="s">
        <v>44</v>
      </c>
      <c r="F96" s="45" t="s">
        <v>74</v>
      </c>
      <c r="G96" s="46">
        <v>0.25</v>
      </c>
      <c r="H96" s="46">
        <v>0.25</v>
      </c>
      <c r="I96" s="46">
        <f t="shared" si="17"/>
        <v>0</v>
      </c>
      <c r="J96" s="49"/>
      <c r="K96" s="35"/>
    </row>
    <row r="97" spans="1:11" s="48" customFormat="1" ht="24" x14ac:dyDescent="0.25">
      <c r="A97" s="42"/>
      <c r="B97" s="43" t="s">
        <v>52</v>
      </c>
      <c r="C97" s="44" t="s">
        <v>44</v>
      </c>
      <c r="D97" s="43" t="s">
        <v>183</v>
      </c>
      <c r="E97" s="45" t="s">
        <v>44</v>
      </c>
      <c r="F97" s="45" t="s">
        <v>74</v>
      </c>
      <c r="G97" s="46">
        <v>0.5</v>
      </c>
      <c r="H97" s="46">
        <v>0.5</v>
      </c>
      <c r="I97" s="46">
        <f t="shared" si="17"/>
        <v>0</v>
      </c>
      <c r="J97" s="49"/>
      <c r="K97" s="35" t="s">
        <v>191</v>
      </c>
    </row>
    <row r="98" spans="1:11" s="48" customFormat="1" ht="300" x14ac:dyDescent="0.25">
      <c r="A98" s="42"/>
      <c r="B98" s="43" t="s">
        <v>52</v>
      </c>
      <c r="C98" s="44" t="s">
        <v>61</v>
      </c>
      <c r="D98" s="43" t="s">
        <v>187</v>
      </c>
      <c r="E98" s="45" t="s">
        <v>61</v>
      </c>
      <c r="F98" s="45" t="s">
        <v>74</v>
      </c>
      <c r="G98" s="46">
        <v>2</v>
      </c>
      <c r="H98" s="46">
        <v>2</v>
      </c>
      <c r="I98" s="46">
        <f t="shared" si="17"/>
        <v>0</v>
      </c>
      <c r="J98" s="49"/>
      <c r="K98" s="35" t="s">
        <v>192</v>
      </c>
    </row>
    <row r="99" spans="1:11" s="48" customFormat="1" ht="24" x14ac:dyDescent="0.25">
      <c r="A99" s="42"/>
      <c r="B99" s="43" t="s">
        <v>52</v>
      </c>
      <c r="C99" s="44" t="s">
        <v>141</v>
      </c>
      <c r="D99" s="43" t="s">
        <v>145</v>
      </c>
      <c r="E99" s="45" t="s">
        <v>62</v>
      </c>
      <c r="F99" s="45" t="s">
        <v>123</v>
      </c>
      <c r="G99" s="46">
        <v>4</v>
      </c>
      <c r="H99" s="46">
        <v>4</v>
      </c>
      <c r="I99" s="46">
        <f t="shared" si="17"/>
        <v>0</v>
      </c>
      <c r="J99" s="52" t="s">
        <v>141</v>
      </c>
      <c r="K99" s="35" t="s">
        <v>197</v>
      </c>
    </row>
    <row r="100" spans="1:11" s="48" customFormat="1" ht="13.2" x14ac:dyDescent="0.25">
      <c r="B100" s="43" t="s">
        <v>52</v>
      </c>
      <c r="C100" s="44" t="s">
        <v>186</v>
      </c>
      <c r="D100" s="43" t="s">
        <v>184</v>
      </c>
      <c r="E100" s="45" t="s">
        <v>44</v>
      </c>
      <c r="F100" s="45" t="s">
        <v>74</v>
      </c>
      <c r="G100" s="46">
        <v>1</v>
      </c>
      <c r="H100" s="46">
        <v>1</v>
      </c>
      <c r="I100" s="46">
        <f t="shared" ref="I100:I108" si="18">H100-G100</f>
        <v>0</v>
      </c>
      <c r="J100" s="49"/>
      <c r="K100" s="35"/>
    </row>
    <row r="101" spans="1:11" s="48" customFormat="1" ht="13.2" x14ac:dyDescent="0.25">
      <c r="B101" s="43" t="s">
        <v>52</v>
      </c>
      <c r="C101" s="44" t="s">
        <v>16</v>
      </c>
      <c r="D101" s="43" t="s">
        <v>185</v>
      </c>
      <c r="E101" s="45" t="s">
        <v>44</v>
      </c>
      <c r="F101" s="45" t="s">
        <v>74</v>
      </c>
      <c r="G101" s="46">
        <v>1</v>
      </c>
      <c r="H101" s="46">
        <v>1</v>
      </c>
      <c r="I101" s="46">
        <f t="shared" si="18"/>
        <v>0</v>
      </c>
      <c r="J101" s="49"/>
      <c r="K101" s="35"/>
    </row>
    <row r="102" spans="1:11" s="48" customFormat="1" ht="24" x14ac:dyDescent="0.25">
      <c r="A102" s="42">
        <v>46002</v>
      </c>
      <c r="B102" s="43" t="s">
        <v>52</v>
      </c>
      <c r="C102" s="44" t="s">
        <v>141</v>
      </c>
      <c r="D102" s="43" t="s">
        <v>145</v>
      </c>
      <c r="E102" s="45" t="s">
        <v>47</v>
      </c>
      <c r="F102" s="45" t="s">
        <v>123</v>
      </c>
      <c r="G102" s="46">
        <v>2</v>
      </c>
      <c r="H102" s="46">
        <v>2</v>
      </c>
      <c r="I102" s="46">
        <f t="shared" si="18"/>
        <v>0</v>
      </c>
      <c r="J102" s="52" t="s">
        <v>141</v>
      </c>
      <c r="K102" s="35" t="s">
        <v>188</v>
      </c>
    </row>
    <row r="103" spans="1:11" s="48" customFormat="1" ht="36" x14ac:dyDescent="0.25">
      <c r="B103" s="43" t="s">
        <v>52</v>
      </c>
      <c r="C103" s="44" t="s">
        <v>189</v>
      </c>
      <c r="D103" s="43" t="s">
        <v>189</v>
      </c>
      <c r="E103" s="45" t="s">
        <v>64</v>
      </c>
      <c r="F103" s="45" t="s">
        <v>166</v>
      </c>
      <c r="G103" s="46">
        <v>4</v>
      </c>
      <c r="H103" s="46">
        <v>4</v>
      </c>
      <c r="I103" s="46">
        <f t="shared" si="18"/>
        <v>0</v>
      </c>
      <c r="J103" s="49"/>
      <c r="K103" s="35" t="s">
        <v>190</v>
      </c>
    </row>
    <row r="104" spans="1:11" s="48" customFormat="1" ht="13.2" x14ac:dyDescent="0.25">
      <c r="B104" s="43" t="s">
        <v>52</v>
      </c>
      <c r="C104" s="44" t="s">
        <v>189</v>
      </c>
      <c r="D104" s="43" t="s">
        <v>189</v>
      </c>
      <c r="E104" s="45" t="s">
        <v>64</v>
      </c>
      <c r="F104" s="45" t="s">
        <v>166</v>
      </c>
      <c r="G104" s="46">
        <v>2</v>
      </c>
      <c r="H104" s="46">
        <v>2</v>
      </c>
      <c r="I104" s="46">
        <f t="shared" si="18"/>
        <v>0</v>
      </c>
      <c r="J104" s="49"/>
      <c r="K104" s="35"/>
    </row>
    <row r="105" spans="1:11" s="48" customFormat="1" ht="13.2" x14ac:dyDescent="0.25">
      <c r="A105" s="42">
        <v>46003</v>
      </c>
      <c r="B105" s="43" t="s">
        <v>52</v>
      </c>
      <c r="C105" s="44" t="s">
        <v>78</v>
      </c>
      <c r="D105" s="43" t="s">
        <v>77</v>
      </c>
      <c r="E105" s="45" t="s">
        <v>39</v>
      </c>
      <c r="F105" s="45"/>
      <c r="G105" s="46">
        <v>4</v>
      </c>
      <c r="H105" s="46">
        <v>4</v>
      </c>
      <c r="I105" s="46">
        <f t="shared" si="18"/>
        <v>0</v>
      </c>
      <c r="J105" s="49"/>
      <c r="K105" s="35"/>
    </row>
    <row r="106" spans="1:11" s="48" customFormat="1" ht="26.4" x14ac:dyDescent="0.25">
      <c r="B106" s="43" t="s">
        <v>52</v>
      </c>
      <c r="C106" s="44" t="s">
        <v>164</v>
      </c>
      <c r="D106" s="43" t="s">
        <v>165</v>
      </c>
      <c r="E106" s="45" t="s">
        <v>47</v>
      </c>
      <c r="F106" s="45" t="s">
        <v>166</v>
      </c>
      <c r="G106" s="46">
        <v>4</v>
      </c>
      <c r="H106" s="46">
        <v>4</v>
      </c>
      <c r="I106" s="46">
        <f t="shared" si="18"/>
        <v>0</v>
      </c>
      <c r="J106" s="52" t="s">
        <v>200</v>
      </c>
      <c r="K106" s="35" t="s">
        <v>193</v>
      </c>
    </row>
    <row r="107" spans="1:11" s="48" customFormat="1" ht="26.4" x14ac:dyDescent="0.25">
      <c r="B107" s="43" t="s">
        <v>52</v>
      </c>
      <c r="C107" s="44" t="s">
        <v>195</v>
      </c>
      <c r="D107" s="43" t="s">
        <v>194</v>
      </c>
      <c r="E107" s="45" t="s">
        <v>47</v>
      </c>
      <c r="F107" s="45" t="s">
        <v>166</v>
      </c>
      <c r="G107" s="46">
        <v>4</v>
      </c>
      <c r="H107" s="46">
        <v>4</v>
      </c>
      <c r="I107" s="46">
        <f t="shared" si="18"/>
        <v>0</v>
      </c>
      <c r="J107" s="52" t="s">
        <v>201</v>
      </c>
      <c r="K107" s="35" t="s">
        <v>196</v>
      </c>
    </row>
    <row r="108" spans="1:11" s="48" customFormat="1" ht="409.6" x14ac:dyDescent="0.25">
      <c r="A108" s="42">
        <v>46004</v>
      </c>
      <c r="B108" s="43" t="s">
        <v>52</v>
      </c>
      <c r="C108" s="43" t="s">
        <v>61</v>
      </c>
      <c r="D108" s="43" t="s">
        <v>61</v>
      </c>
      <c r="E108" s="45" t="s">
        <v>61</v>
      </c>
      <c r="F108" s="45" t="s">
        <v>74</v>
      </c>
      <c r="G108" s="46">
        <v>0.5</v>
      </c>
      <c r="H108" s="46">
        <v>0.5</v>
      </c>
      <c r="I108" s="46">
        <f t="shared" si="18"/>
        <v>0</v>
      </c>
      <c r="J108" s="49"/>
      <c r="K108" s="35" t="s">
        <v>198</v>
      </c>
    </row>
    <row r="109" spans="1:11" ht="13.2" x14ac:dyDescent="0.25">
      <c r="A109" s="13"/>
      <c r="B109" s="15"/>
      <c r="C109" s="15"/>
      <c r="D109" s="15"/>
      <c r="E109" s="15" t="s">
        <v>17</v>
      </c>
      <c r="F109" s="15"/>
      <c r="G109" s="18">
        <f>SUM(G92:G108)</f>
        <v>41.5</v>
      </c>
      <c r="H109" s="18">
        <f>SUM(H92:H108)</f>
        <v>41.5</v>
      </c>
      <c r="I109" s="18">
        <f t="shared" si="17"/>
        <v>0</v>
      </c>
      <c r="J109" s="19"/>
      <c r="K109" s="36"/>
    </row>
    <row r="110" spans="1:11" ht="18.75" customHeight="1" x14ac:dyDescent="0.25">
      <c r="A110" s="62" t="s">
        <v>163</v>
      </c>
      <c r="B110" s="63"/>
      <c r="C110" s="63"/>
      <c r="D110" s="63"/>
      <c r="E110" s="63"/>
      <c r="F110" s="63"/>
      <c r="G110" s="63"/>
      <c r="H110" s="63"/>
      <c r="I110" s="63"/>
      <c r="J110" s="63"/>
      <c r="K110" s="64"/>
    </row>
    <row r="111" spans="1:11" ht="13.2" x14ac:dyDescent="0.25">
      <c r="A111" s="27" t="s">
        <v>12</v>
      </c>
      <c r="B111" s="72" t="s">
        <v>13</v>
      </c>
      <c r="C111" s="63"/>
      <c r="D111" s="63"/>
      <c r="E111" s="63"/>
      <c r="F111" s="63"/>
      <c r="G111" s="63"/>
      <c r="H111" s="63"/>
      <c r="I111" s="63"/>
      <c r="J111" s="63"/>
      <c r="K111" s="64"/>
    </row>
    <row r="112" spans="1:11" ht="28.5" customHeight="1" x14ac:dyDescent="0.25">
      <c r="A112" s="28" t="s">
        <v>14</v>
      </c>
      <c r="B112" s="72" t="s">
        <v>15</v>
      </c>
      <c r="C112" s="63"/>
      <c r="D112" s="63"/>
      <c r="E112" s="63"/>
      <c r="F112" s="63"/>
      <c r="G112" s="63"/>
      <c r="H112" s="63"/>
      <c r="I112" s="63"/>
      <c r="J112" s="63"/>
      <c r="K112" s="64"/>
    </row>
    <row r="113" spans="1:11" s="48" customFormat="1" ht="13.2" x14ac:dyDescent="0.25">
      <c r="A113" s="42"/>
      <c r="B113" s="43"/>
      <c r="C113" s="44" t="s">
        <v>16</v>
      </c>
      <c r="D113" s="43"/>
      <c r="E113" s="45"/>
      <c r="F113" s="45"/>
      <c r="G113" s="46"/>
      <c r="H113" s="46"/>
      <c r="I113" s="46">
        <f t="shared" ref="I113:I150" si="19">H113-G113</f>
        <v>0</v>
      </c>
      <c r="J113" s="49"/>
      <c r="K113" s="35"/>
    </row>
    <row r="114" spans="1:11" s="48" customFormat="1" ht="13.2" x14ac:dyDescent="0.25">
      <c r="A114" s="42"/>
      <c r="B114" s="43"/>
      <c r="C114" s="44" t="s">
        <v>16</v>
      </c>
      <c r="D114" s="43"/>
      <c r="E114" s="45"/>
      <c r="F114" s="45"/>
      <c r="G114" s="46"/>
      <c r="H114" s="46"/>
      <c r="I114" s="46">
        <f t="shared" si="19"/>
        <v>0</v>
      </c>
      <c r="J114" s="49"/>
      <c r="K114" s="35"/>
    </row>
    <row r="115" spans="1:11" s="48" customFormat="1" ht="13.2" x14ac:dyDescent="0.25">
      <c r="A115" s="42"/>
      <c r="B115" s="43"/>
      <c r="C115" s="44" t="s">
        <v>16</v>
      </c>
      <c r="D115" s="43"/>
      <c r="E115" s="45"/>
      <c r="F115" s="45"/>
      <c r="G115" s="46"/>
      <c r="H115" s="46"/>
      <c r="I115" s="46">
        <f t="shared" si="19"/>
        <v>0</v>
      </c>
      <c r="J115" s="49"/>
      <c r="K115" s="35"/>
    </row>
    <row r="116" spans="1:11" s="48" customFormat="1" ht="13.2" x14ac:dyDescent="0.25">
      <c r="A116" s="42"/>
      <c r="B116" s="43"/>
      <c r="C116" s="44" t="s">
        <v>16</v>
      </c>
      <c r="D116" s="43"/>
      <c r="E116" s="45"/>
      <c r="F116" s="45"/>
      <c r="G116" s="46"/>
      <c r="H116" s="46"/>
      <c r="I116" s="46">
        <f t="shared" si="19"/>
        <v>0</v>
      </c>
      <c r="J116" s="49"/>
      <c r="K116" s="35"/>
    </row>
    <row r="117" spans="1:11" s="48" customFormat="1" ht="13.2" x14ac:dyDescent="0.25">
      <c r="A117" s="42"/>
      <c r="B117" s="43"/>
      <c r="C117" s="44" t="s">
        <v>16</v>
      </c>
      <c r="D117" s="43"/>
      <c r="E117" s="45"/>
      <c r="F117" s="45"/>
      <c r="G117" s="46"/>
      <c r="H117" s="46"/>
      <c r="I117" s="46">
        <f t="shared" si="19"/>
        <v>0</v>
      </c>
      <c r="J117" s="49"/>
      <c r="K117" s="35"/>
    </row>
    <row r="118" spans="1:11" s="48" customFormat="1" ht="13.2" x14ac:dyDescent="0.25">
      <c r="A118" s="42"/>
      <c r="B118" s="43"/>
      <c r="C118" s="44" t="s">
        <v>16</v>
      </c>
      <c r="D118" s="43"/>
      <c r="E118" s="45"/>
      <c r="F118" s="45"/>
      <c r="G118" s="46"/>
      <c r="H118" s="46"/>
      <c r="I118" s="46">
        <f t="shared" si="19"/>
        <v>0</v>
      </c>
      <c r="J118" s="49"/>
      <c r="K118" s="35"/>
    </row>
    <row r="119" spans="1:11" s="48" customFormat="1" ht="13.2" x14ac:dyDescent="0.25">
      <c r="A119" s="42"/>
      <c r="B119" s="43"/>
      <c r="C119" s="44" t="s">
        <v>16</v>
      </c>
      <c r="D119" s="43"/>
      <c r="E119" s="45"/>
      <c r="F119" s="45"/>
      <c r="G119" s="46"/>
      <c r="H119" s="46"/>
      <c r="I119" s="46">
        <f t="shared" si="19"/>
        <v>0</v>
      </c>
      <c r="J119" s="49"/>
      <c r="K119" s="35"/>
    </row>
    <row r="120" spans="1:11" s="48" customFormat="1" ht="13.2" x14ac:dyDescent="0.25">
      <c r="B120" s="43"/>
      <c r="C120" s="44" t="s">
        <v>16</v>
      </c>
      <c r="D120" s="43"/>
      <c r="E120" s="45"/>
      <c r="F120" s="45"/>
      <c r="G120" s="46"/>
      <c r="H120" s="46"/>
      <c r="I120" s="46">
        <f t="shared" si="19"/>
        <v>0</v>
      </c>
      <c r="J120" s="49"/>
      <c r="K120" s="35"/>
    </row>
    <row r="121" spans="1:11" s="48" customFormat="1" ht="13.2" x14ac:dyDescent="0.25">
      <c r="B121" s="43"/>
      <c r="C121" s="44" t="s">
        <v>16</v>
      </c>
      <c r="D121" s="43"/>
      <c r="E121" s="45"/>
      <c r="F121" s="45"/>
      <c r="G121" s="46"/>
      <c r="H121" s="46"/>
      <c r="I121" s="46">
        <f t="shared" si="19"/>
        <v>0</v>
      </c>
      <c r="J121" s="49"/>
      <c r="K121" s="35"/>
    </row>
    <row r="122" spans="1:11" s="48" customFormat="1" ht="13.2" x14ac:dyDescent="0.25">
      <c r="A122" s="42"/>
      <c r="B122" s="43"/>
      <c r="C122" s="44" t="s">
        <v>16</v>
      </c>
      <c r="D122" s="43"/>
      <c r="E122" s="45"/>
      <c r="F122" s="45"/>
      <c r="G122" s="46"/>
      <c r="H122" s="46"/>
      <c r="I122" s="46">
        <f t="shared" si="19"/>
        <v>0</v>
      </c>
      <c r="J122" s="49"/>
      <c r="K122" s="35"/>
    </row>
    <row r="123" spans="1:11" s="48" customFormat="1" ht="13.2" x14ac:dyDescent="0.25">
      <c r="A123" s="42"/>
      <c r="B123" s="43"/>
      <c r="C123" s="44" t="s">
        <v>16</v>
      </c>
      <c r="D123" s="43"/>
      <c r="E123" s="45"/>
      <c r="F123" s="45"/>
      <c r="G123" s="46"/>
      <c r="H123" s="46"/>
      <c r="I123" s="46">
        <f t="shared" si="19"/>
        <v>0</v>
      </c>
      <c r="J123" s="49"/>
      <c r="K123" s="35"/>
    </row>
    <row r="124" spans="1:11" s="48" customFormat="1" ht="13.2" x14ac:dyDescent="0.25">
      <c r="A124" s="42"/>
      <c r="B124" s="43"/>
      <c r="C124" s="44" t="s">
        <v>16</v>
      </c>
      <c r="D124" s="43"/>
      <c r="E124" s="45"/>
      <c r="F124" s="45"/>
      <c r="G124" s="46"/>
      <c r="H124" s="46"/>
      <c r="I124" s="46">
        <f t="shared" si="19"/>
        <v>0</v>
      </c>
      <c r="J124" s="49"/>
      <c r="K124" s="35"/>
    </row>
    <row r="125" spans="1:11" s="48" customFormat="1" ht="13.2" x14ac:dyDescent="0.25">
      <c r="B125" s="43"/>
      <c r="C125" s="44" t="s">
        <v>16</v>
      </c>
      <c r="D125" s="43"/>
      <c r="E125" s="45"/>
      <c r="F125" s="45"/>
      <c r="G125" s="46"/>
      <c r="H125" s="46"/>
      <c r="I125" s="46">
        <f t="shared" si="19"/>
        <v>0</v>
      </c>
      <c r="J125" s="49"/>
      <c r="K125" s="35"/>
    </row>
    <row r="126" spans="1:11" s="48" customFormat="1" ht="13.2" x14ac:dyDescent="0.25">
      <c r="B126" s="43"/>
      <c r="C126" s="44" t="s">
        <v>16</v>
      </c>
      <c r="D126" s="43"/>
      <c r="E126" s="45"/>
      <c r="F126" s="45"/>
      <c r="G126" s="46"/>
      <c r="H126" s="46"/>
      <c r="I126" s="46">
        <f t="shared" si="19"/>
        <v>0</v>
      </c>
      <c r="J126" s="49"/>
      <c r="K126" s="35"/>
    </row>
    <row r="127" spans="1:11" s="48" customFormat="1" ht="13.2" x14ac:dyDescent="0.25">
      <c r="B127" s="43"/>
      <c r="C127" s="44" t="s">
        <v>16</v>
      </c>
      <c r="D127" s="43"/>
      <c r="E127" s="45"/>
      <c r="F127" s="45"/>
      <c r="G127" s="46"/>
      <c r="H127" s="46"/>
      <c r="I127" s="46">
        <f t="shared" si="19"/>
        <v>0</v>
      </c>
      <c r="J127" s="49"/>
      <c r="K127" s="35"/>
    </row>
    <row r="128" spans="1:11" s="48" customFormat="1" ht="13.2" x14ac:dyDescent="0.25">
      <c r="B128" s="43"/>
      <c r="C128" s="44" t="s">
        <v>16</v>
      </c>
      <c r="D128" s="43"/>
      <c r="E128" s="45"/>
      <c r="F128" s="45"/>
      <c r="G128" s="46"/>
      <c r="H128" s="46"/>
      <c r="I128" s="46">
        <f t="shared" si="19"/>
        <v>0</v>
      </c>
      <c r="J128" s="49"/>
      <c r="K128" s="35"/>
    </row>
    <row r="129" spans="1:11" s="48" customFormat="1" ht="13.2" x14ac:dyDescent="0.25">
      <c r="B129" s="43"/>
      <c r="C129" s="44" t="s">
        <v>16</v>
      </c>
      <c r="D129" s="43"/>
      <c r="E129" s="45"/>
      <c r="F129" s="45"/>
      <c r="G129" s="46"/>
      <c r="H129" s="46"/>
      <c r="I129" s="46">
        <f t="shared" si="19"/>
        <v>0</v>
      </c>
      <c r="J129" s="49"/>
      <c r="K129" s="35"/>
    </row>
    <row r="130" spans="1:11" s="48" customFormat="1" ht="13.2" x14ac:dyDescent="0.25">
      <c r="A130" s="42"/>
      <c r="B130" s="43"/>
      <c r="C130" s="44" t="s">
        <v>16</v>
      </c>
      <c r="D130" s="43"/>
      <c r="E130" s="45"/>
      <c r="F130" s="45"/>
      <c r="G130" s="46"/>
      <c r="H130" s="46"/>
      <c r="I130" s="46">
        <f t="shared" si="19"/>
        <v>0</v>
      </c>
      <c r="J130" s="49"/>
      <c r="K130" s="35"/>
    </row>
    <row r="131" spans="1:11" s="48" customFormat="1" ht="13.2" x14ac:dyDescent="0.25">
      <c r="A131" s="42"/>
      <c r="B131" s="43"/>
      <c r="C131" s="44" t="s">
        <v>16</v>
      </c>
      <c r="D131" s="43"/>
      <c r="E131" s="45"/>
      <c r="F131" s="45"/>
      <c r="G131" s="46"/>
      <c r="H131" s="46"/>
      <c r="I131" s="46">
        <f t="shared" si="19"/>
        <v>0</v>
      </c>
      <c r="J131" s="49"/>
      <c r="K131" s="35"/>
    </row>
    <row r="132" spans="1:11" s="48" customFormat="1" ht="13.2" x14ac:dyDescent="0.25">
      <c r="B132" s="43"/>
      <c r="C132" s="44" t="s">
        <v>16</v>
      </c>
      <c r="D132" s="43"/>
      <c r="E132" s="45"/>
      <c r="F132" s="45"/>
      <c r="G132" s="46"/>
      <c r="H132" s="46"/>
      <c r="I132" s="46">
        <f t="shared" si="19"/>
        <v>0</v>
      </c>
      <c r="J132" s="49"/>
      <c r="K132" s="35"/>
    </row>
    <row r="133" spans="1:11" s="48" customFormat="1" ht="13.2" x14ac:dyDescent="0.25">
      <c r="B133" s="43"/>
      <c r="C133" s="44" t="s">
        <v>16</v>
      </c>
      <c r="D133" s="43"/>
      <c r="E133" s="45"/>
      <c r="F133" s="45"/>
      <c r="G133" s="46"/>
      <c r="H133" s="46"/>
      <c r="I133" s="46">
        <f t="shared" si="19"/>
        <v>0</v>
      </c>
      <c r="J133" s="49"/>
      <c r="K133" s="35"/>
    </row>
    <row r="134" spans="1:11" s="48" customFormat="1" ht="13.2" x14ac:dyDescent="0.25">
      <c r="B134" s="43"/>
      <c r="C134" s="44" t="s">
        <v>16</v>
      </c>
      <c r="D134" s="43"/>
      <c r="E134" s="45"/>
      <c r="F134" s="45"/>
      <c r="G134" s="46"/>
      <c r="H134" s="46"/>
      <c r="I134" s="46">
        <f t="shared" si="19"/>
        <v>0</v>
      </c>
      <c r="J134" s="49"/>
      <c r="K134" s="35"/>
    </row>
    <row r="135" spans="1:11" s="48" customFormat="1" ht="13.2" x14ac:dyDescent="0.25">
      <c r="A135" s="42"/>
      <c r="B135" s="43"/>
      <c r="C135" s="44" t="s">
        <v>16</v>
      </c>
      <c r="D135" s="43"/>
      <c r="E135" s="45"/>
      <c r="F135" s="45"/>
      <c r="G135" s="46"/>
      <c r="H135" s="46"/>
      <c r="I135" s="46">
        <f t="shared" si="19"/>
        <v>0</v>
      </c>
      <c r="J135" s="49"/>
      <c r="K135" s="35"/>
    </row>
    <row r="136" spans="1:11" s="48" customFormat="1" ht="13.2" x14ac:dyDescent="0.25">
      <c r="A136" s="42"/>
      <c r="B136" s="43"/>
      <c r="C136" s="44" t="s">
        <v>16</v>
      </c>
      <c r="D136" s="43"/>
      <c r="E136" s="45"/>
      <c r="F136" s="45"/>
      <c r="G136" s="46"/>
      <c r="H136" s="46"/>
      <c r="I136" s="46">
        <f t="shared" si="19"/>
        <v>0</v>
      </c>
      <c r="J136" s="49"/>
      <c r="K136" s="35"/>
    </row>
    <row r="137" spans="1:11" s="48" customFormat="1" ht="13.2" x14ac:dyDescent="0.25">
      <c r="A137" s="42"/>
      <c r="B137" s="43"/>
      <c r="C137" s="44" t="s">
        <v>16</v>
      </c>
      <c r="D137" s="43"/>
      <c r="E137" s="45"/>
      <c r="F137" s="45"/>
      <c r="G137" s="46"/>
      <c r="H137" s="46"/>
      <c r="I137" s="46">
        <f t="shared" si="19"/>
        <v>0</v>
      </c>
      <c r="J137" s="49"/>
      <c r="K137" s="35"/>
    </row>
    <row r="138" spans="1:11" s="48" customFormat="1" ht="13.2" x14ac:dyDescent="0.25">
      <c r="A138" s="42"/>
      <c r="B138" s="43"/>
      <c r="C138" s="44" t="s">
        <v>16</v>
      </c>
      <c r="D138" s="43"/>
      <c r="E138" s="45"/>
      <c r="F138" s="45"/>
      <c r="G138" s="46"/>
      <c r="H138" s="46"/>
      <c r="I138" s="46">
        <f t="shared" si="19"/>
        <v>0</v>
      </c>
      <c r="J138" s="49"/>
      <c r="K138" s="35"/>
    </row>
    <row r="139" spans="1:11" s="48" customFormat="1" ht="13.2" x14ac:dyDescent="0.25">
      <c r="A139" s="42"/>
      <c r="B139" s="43"/>
      <c r="C139" s="44" t="s">
        <v>16</v>
      </c>
      <c r="D139" s="43"/>
      <c r="E139" s="45"/>
      <c r="F139" s="45"/>
      <c r="G139" s="46"/>
      <c r="H139" s="46"/>
      <c r="I139" s="46">
        <f t="shared" si="19"/>
        <v>0</v>
      </c>
      <c r="J139" s="49"/>
      <c r="K139" s="35"/>
    </row>
    <row r="140" spans="1:11" s="48" customFormat="1" ht="13.2" x14ac:dyDescent="0.25">
      <c r="A140" s="42"/>
      <c r="B140" s="43"/>
      <c r="C140" s="44" t="s">
        <v>16</v>
      </c>
      <c r="D140" s="43"/>
      <c r="E140" s="45"/>
      <c r="F140" s="45"/>
      <c r="G140" s="46"/>
      <c r="H140" s="46"/>
      <c r="I140" s="46">
        <f t="shared" si="19"/>
        <v>0</v>
      </c>
      <c r="J140" s="49"/>
      <c r="K140" s="35"/>
    </row>
    <row r="141" spans="1:11" s="48" customFormat="1" ht="13.2" x14ac:dyDescent="0.25">
      <c r="A141" s="42"/>
      <c r="B141" s="43"/>
      <c r="C141" s="44" t="s">
        <v>16</v>
      </c>
      <c r="D141" s="43"/>
      <c r="E141" s="45"/>
      <c r="F141" s="45"/>
      <c r="G141" s="46"/>
      <c r="H141" s="46"/>
      <c r="I141" s="46">
        <f t="shared" ref="I141:I147" si="20">H141-G141</f>
        <v>0</v>
      </c>
      <c r="J141" s="49"/>
      <c r="K141" s="35"/>
    </row>
    <row r="142" spans="1:11" s="48" customFormat="1" ht="13.2" x14ac:dyDescent="0.25">
      <c r="A142" s="42"/>
      <c r="B142" s="43"/>
      <c r="C142" s="44" t="s">
        <v>16</v>
      </c>
      <c r="D142" s="43"/>
      <c r="E142" s="45"/>
      <c r="F142" s="45"/>
      <c r="G142" s="46"/>
      <c r="H142" s="46"/>
      <c r="I142" s="46">
        <f t="shared" si="20"/>
        <v>0</v>
      </c>
      <c r="J142" s="49"/>
      <c r="K142" s="35"/>
    </row>
    <row r="143" spans="1:11" s="48" customFormat="1" ht="13.2" x14ac:dyDescent="0.25">
      <c r="A143" s="42"/>
      <c r="B143" s="43"/>
      <c r="C143" s="44" t="s">
        <v>16</v>
      </c>
      <c r="D143" s="43"/>
      <c r="E143" s="45"/>
      <c r="F143" s="45"/>
      <c r="G143" s="46"/>
      <c r="H143" s="46"/>
      <c r="I143" s="46">
        <f t="shared" si="20"/>
        <v>0</v>
      </c>
      <c r="J143" s="49"/>
      <c r="K143" s="35"/>
    </row>
    <row r="144" spans="1:11" s="48" customFormat="1" ht="13.2" x14ac:dyDescent="0.25">
      <c r="A144" s="42"/>
      <c r="B144" s="43"/>
      <c r="C144" s="44" t="s">
        <v>16</v>
      </c>
      <c r="D144" s="43"/>
      <c r="E144" s="45"/>
      <c r="F144" s="45"/>
      <c r="G144" s="46"/>
      <c r="H144" s="46"/>
      <c r="I144" s="46">
        <f t="shared" si="20"/>
        <v>0</v>
      </c>
      <c r="J144" s="49"/>
      <c r="K144" s="35"/>
    </row>
    <row r="145" spans="1:11" s="48" customFormat="1" ht="13.2" x14ac:dyDescent="0.25">
      <c r="A145" s="42"/>
      <c r="B145" s="43"/>
      <c r="C145" s="44" t="s">
        <v>16</v>
      </c>
      <c r="D145" s="43"/>
      <c r="E145" s="45"/>
      <c r="F145" s="45"/>
      <c r="G145" s="46"/>
      <c r="H145" s="46"/>
      <c r="I145" s="46">
        <f t="shared" si="20"/>
        <v>0</v>
      </c>
      <c r="J145" s="49"/>
      <c r="K145" s="35"/>
    </row>
    <row r="146" spans="1:11" s="48" customFormat="1" ht="13.2" x14ac:dyDescent="0.25">
      <c r="A146" s="42"/>
      <c r="B146" s="43"/>
      <c r="C146" s="44" t="s">
        <v>16</v>
      </c>
      <c r="D146" s="43"/>
      <c r="E146" s="45"/>
      <c r="F146" s="45"/>
      <c r="G146" s="46"/>
      <c r="H146" s="46"/>
      <c r="I146" s="46">
        <f t="shared" si="20"/>
        <v>0</v>
      </c>
      <c r="J146" s="49"/>
      <c r="K146" s="35"/>
    </row>
    <row r="147" spans="1:11" s="48" customFormat="1" ht="13.2" x14ac:dyDescent="0.25">
      <c r="A147" s="42"/>
      <c r="B147" s="43"/>
      <c r="C147" s="44" t="s">
        <v>16</v>
      </c>
      <c r="D147" s="43"/>
      <c r="E147" s="45"/>
      <c r="F147" s="45"/>
      <c r="G147" s="46"/>
      <c r="H147" s="46"/>
      <c r="I147" s="46">
        <f t="shared" si="20"/>
        <v>0</v>
      </c>
      <c r="J147" s="49"/>
      <c r="K147" s="35"/>
    </row>
    <row r="148" spans="1:11" s="48" customFormat="1" ht="13.2" x14ac:dyDescent="0.25">
      <c r="A148" s="42"/>
      <c r="B148" s="43"/>
      <c r="C148" s="44" t="s">
        <v>16</v>
      </c>
      <c r="D148" s="43"/>
      <c r="E148" s="45"/>
      <c r="F148" s="45"/>
      <c r="G148" s="46"/>
      <c r="H148" s="46"/>
      <c r="I148" s="46">
        <f t="shared" si="19"/>
        <v>0</v>
      </c>
      <c r="J148" s="49"/>
      <c r="K148" s="35"/>
    </row>
    <row r="149" spans="1:11" s="48" customFormat="1" ht="13.2" x14ac:dyDescent="0.25">
      <c r="A149" s="42"/>
      <c r="B149" s="43"/>
      <c r="C149" s="44" t="s">
        <v>16</v>
      </c>
      <c r="D149" s="43"/>
      <c r="E149" s="45"/>
      <c r="F149" s="45"/>
      <c r="G149" s="46"/>
      <c r="H149" s="46"/>
      <c r="I149" s="46">
        <f t="shared" si="19"/>
        <v>0</v>
      </c>
      <c r="J149" s="49"/>
      <c r="K149" s="35"/>
    </row>
    <row r="150" spans="1:11" ht="13.2" x14ac:dyDescent="0.25">
      <c r="A150" s="13"/>
      <c r="B150" s="15"/>
      <c r="C150" s="15"/>
      <c r="D150" s="15"/>
      <c r="E150" s="15" t="s">
        <v>17</v>
      </c>
      <c r="F150" s="15"/>
      <c r="G150" s="18">
        <f t="shared" ref="G150:H150" si="21">SUM(G113:G149)</f>
        <v>0</v>
      </c>
      <c r="H150" s="18">
        <f t="shared" si="21"/>
        <v>0</v>
      </c>
      <c r="I150" s="18">
        <f t="shared" si="19"/>
        <v>0</v>
      </c>
      <c r="J150" s="19"/>
      <c r="K150" s="36"/>
    </row>
    <row r="151" spans="1:11" ht="18.75" customHeight="1" x14ac:dyDescent="0.25">
      <c r="A151" s="68" t="s">
        <v>22</v>
      </c>
      <c r="B151" s="69"/>
      <c r="C151" s="69"/>
      <c r="D151" s="69"/>
      <c r="E151" s="69"/>
      <c r="F151" s="69"/>
      <c r="G151" s="69"/>
      <c r="H151" s="69"/>
      <c r="I151" s="69"/>
      <c r="J151" s="69"/>
      <c r="K151" s="70"/>
    </row>
    <row r="152" spans="1:11" ht="13.2" x14ac:dyDescent="0.25">
      <c r="A152" s="30" t="s">
        <v>12</v>
      </c>
      <c r="B152" s="71" t="s">
        <v>13</v>
      </c>
      <c r="C152" s="69"/>
      <c r="D152" s="69"/>
      <c r="E152" s="69"/>
      <c r="F152" s="69"/>
      <c r="G152" s="69"/>
      <c r="H152" s="69"/>
      <c r="I152" s="69"/>
      <c r="J152" s="69"/>
      <c r="K152" s="70"/>
    </row>
    <row r="153" spans="1:11" ht="28.5" customHeight="1" x14ac:dyDescent="0.25">
      <c r="A153" s="31" t="s">
        <v>14</v>
      </c>
      <c r="B153" s="71" t="s">
        <v>15</v>
      </c>
      <c r="C153" s="69"/>
      <c r="D153" s="69"/>
      <c r="E153" s="69"/>
      <c r="F153" s="69"/>
      <c r="G153" s="69"/>
      <c r="H153" s="69"/>
      <c r="I153" s="69"/>
      <c r="J153" s="69"/>
      <c r="K153" s="70"/>
    </row>
    <row r="154" spans="1:11" s="48" customFormat="1" ht="13.2" x14ac:dyDescent="0.25">
      <c r="A154" s="42"/>
      <c r="B154" s="43"/>
      <c r="C154" s="44" t="s">
        <v>16</v>
      </c>
      <c r="D154" s="43"/>
      <c r="E154" s="45"/>
      <c r="F154" s="45"/>
      <c r="G154" s="46"/>
      <c r="H154" s="46"/>
      <c r="I154" s="46">
        <f t="shared" ref="I154:I195" si="22">H154-G154</f>
        <v>0</v>
      </c>
      <c r="J154" s="49"/>
      <c r="K154" s="35"/>
    </row>
    <row r="155" spans="1:11" s="48" customFormat="1" ht="13.2" x14ac:dyDescent="0.25">
      <c r="A155" s="42"/>
      <c r="B155" s="43"/>
      <c r="C155" s="44" t="s">
        <v>16</v>
      </c>
      <c r="D155" s="43"/>
      <c r="E155" s="45"/>
      <c r="F155" s="45"/>
      <c r="G155" s="46"/>
      <c r="H155" s="46"/>
      <c r="I155" s="46">
        <f t="shared" si="22"/>
        <v>0</v>
      </c>
      <c r="J155" s="49"/>
      <c r="K155" s="35"/>
    </row>
    <row r="156" spans="1:11" s="48" customFormat="1" ht="13.2" x14ac:dyDescent="0.25">
      <c r="A156" s="42"/>
      <c r="B156" s="43"/>
      <c r="C156" s="44" t="s">
        <v>16</v>
      </c>
      <c r="D156" s="43"/>
      <c r="E156" s="45"/>
      <c r="F156" s="45"/>
      <c r="G156" s="46"/>
      <c r="H156" s="46"/>
      <c r="I156" s="46">
        <f t="shared" si="22"/>
        <v>0</v>
      </c>
      <c r="J156" s="49"/>
      <c r="K156" s="35"/>
    </row>
    <row r="157" spans="1:11" s="48" customFormat="1" ht="13.2" x14ac:dyDescent="0.25">
      <c r="A157" s="42"/>
      <c r="B157" s="43"/>
      <c r="C157" s="44" t="s">
        <v>16</v>
      </c>
      <c r="D157" s="43"/>
      <c r="E157" s="45"/>
      <c r="F157" s="45"/>
      <c r="G157" s="46"/>
      <c r="H157" s="46"/>
      <c r="I157" s="46">
        <f t="shared" si="22"/>
        <v>0</v>
      </c>
      <c r="J157" s="49"/>
      <c r="K157" s="35"/>
    </row>
    <row r="158" spans="1:11" s="48" customFormat="1" ht="13.2" x14ac:dyDescent="0.25">
      <c r="A158" s="42"/>
      <c r="B158" s="43"/>
      <c r="C158" s="44" t="s">
        <v>16</v>
      </c>
      <c r="D158" s="43"/>
      <c r="E158" s="45"/>
      <c r="F158" s="45"/>
      <c r="G158" s="46"/>
      <c r="H158" s="46"/>
      <c r="I158" s="46">
        <f t="shared" si="22"/>
        <v>0</v>
      </c>
      <c r="J158" s="49"/>
      <c r="K158" s="35"/>
    </row>
    <row r="159" spans="1:11" s="48" customFormat="1" ht="13.2" x14ac:dyDescent="0.25">
      <c r="A159" s="42"/>
      <c r="B159" s="43"/>
      <c r="C159" s="44" t="s">
        <v>16</v>
      </c>
      <c r="D159" s="43"/>
      <c r="E159" s="45"/>
      <c r="F159" s="45"/>
      <c r="G159" s="46"/>
      <c r="H159" s="46"/>
      <c r="I159" s="46">
        <f t="shared" si="22"/>
        <v>0</v>
      </c>
      <c r="J159" s="49"/>
      <c r="K159" s="35"/>
    </row>
    <row r="160" spans="1:11" s="48" customFormat="1" ht="13.2" x14ac:dyDescent="0.25">
      <c r="A160" s="42"/>
      <c r="B160" s="43"/>
      <c r="C160" s="44" t="s">
        <v>16</v>
      </c>
      <c r="D160" s="43"/>
      <c r="E160" s="45"/>
      <c r="F160" s="45"/>
      <c r="G160" s="46"/>
      <c r="H160" s="46"/>
      <c r="I160" s="46">
        <f t="shared" si="22"/>
        <v>0</v>
      </c>
      <c r="J160" s="49"/>
      <c r="K160" s="35"/>
    </row>
    <row r="161" spans="1:11" s="48" customFormat="1" ht="13.2" x14ac:dyDescent="0.25">
      <c r="A161" s="42"/>
      <c r="B161" s="43"/>
      <c r="C161" s="44" t="s">
        <v>16</v>
      </c>
      <c r="D161" s="43"/>
      <c r="E161" s="45"/>
      <c r="F161" s="45"/>
      <c r="G161" s="46"/>
      <c r="H161" s="46"/>
      <c r="I161" s="46">
        <f t="shared" si="22"/>
        <v>0</v>
      </c>
      <c r="J161" s="49"/>
      <c r="K161" s="35"/>
    </row>
    <row r="162" spans="1:11" s="48" customFormat="1" ht="13.2" x14ac:dyDescent="0.25">
      <c r="A162" s="42"/>
      <c r="B162" s="43"/>
      <c r="C162" s="44" t="s">
        <v>16</v>
      </c>
      <c r="D162" s="43"/>
      <c r="E162" s="45"/>
      <c r="F162" s="45"/>
      <c r="G162" s="46"/>
      <c r="H162" s="46"/>
      <c r="I162" s="46">
        <f t="shared" si="22"/>
        <v>0</v>
      </c>
      <c r="J162" s="49"/>
      <c r="K162" s="35"/>
    </row>
    <row r="163" spans="1:11" s="48" customFormat="1" ht="13.2" x14ac:dyDescent="0.25">
      <c r="B163" s="43"/>
      <c r="C163" s="44" t="s">
        <v>16</v>
      </c>
      <c r="D163" s="43"/>
      <c r="E163" s="45"/>
      <c r="F163" s="45"/>
      <c r="G163" s="46"/>
      <c r="H163" s="46"/>
      <c r="I163" s="46">
        <f t="shared" si="22"/>
        <v>0</v>
      </c>
      <c r="J163" s="49"/>
      <c r="K163" s="35"/>
    </row>
    <row r="164" spans="1:11" s="48" customFormat="1" ht="13.2" x14ac:dyDescent="0.25">
      <c r="B164" s="43"/>
      <c r="C164" s="44" t="s">
        <v>16</v>
      </c>
      <c r="D164" s="43"/>
      <c r="E164" s="45"/>
      <c r="F164" s="45"/>
      <c r="G164" s="46"/>
      <c r="H164" s="46"/>
      <c r="I164" s="46">
        <f t="shared" si="22"/>
        <v>0</v>
      </c>
      <c r="J164" s="49"/>
      <c r="K164" s="35"/>
    </row>
    <row r="165" spans="1:11" s="48" customFormat="1" ht="13.2" x14ac:dyDescent="0.25">
      <c r="A165" s="42"/>
      <c r="B165" s="43"/>
      <c r="C165" s="44" t="s">
        <v>16</v>
      </c>
      <c r="D165" s="43"/>
      <c r="E165" s="45"/>
      <c r="F165" s="45"/>
      <c r="G165" s="46"/>
      <c r="H165" s="46"/>
      <c r="I165" s="46">
        <f t="shared" si="22"/>
        <v>0</v>
      </c>
      <c r="J165" s="49"/>
      <c r="K165" s="35"/>
    </row>
    <row r="166" spans="1:11" s="48" customFormat="1" ht="13.2" x14ac:dyDescent="0.25">
      <c r="A166" s="42"/>
      <c r="B166" s="43"/>
      <c r="C166" s="44" t="s">
        <v>16</v>
      </c>
      <c r="D166" s="43"/>
      <c r="E166" s="45"/>
      <c r="F166" s="45"/>
      <c r="G166" s="46"/>
      <c r="H166" s="46"/>
      <c r="I166" s="46">
        <f t="shared" si="22"/>
        <v>0</v>
      </c>
      <c r="J166" s="49"/>
      <c r="K166" s="35"/>
    </row>
    <row r="167" spans="1:11" s="48" customFormat="1" ht="13.2" x14ac:dyDescent="0.25">
      <c r="A167" s="42"/>
      <c r="B167" s="43"/>
      <c r="C167" s="44" t="s">
        <v>16</v>
      </c>
      <c r="D167" s="43"/>
      <c r="E167" s="45"/>
      <c r="F167" s="45"/>
      <c r="G167" s="46"/>
      <c r="H167" s="46"/>
      <c r="I167" s="46">
        <f t="shared" si="22"/>
        <v>0</v>
      </c>
      <c r="J167" s="49"/>
      <c r="K167" s="35"/>
    </row>
    <row r="168" spans="1:11" s="48" customFormat="1" ht="13.2" x14ac:dyDescent="0.25">
      <c r="B168" s="43"/>
      <c r="C168" s="44" t="s">
        <v>16</v>
      </c>
      <c r="D168" s="43"/>
      <c r="E168" s="45"/>
      <c r="F168" s="45"/>
      <c r="G168" s="46"/>
      <c r="H168" s="46"/>
      <c r="I168" s="46">
        <f t="shared" si="22"/>
        <v>0</v>
      </c>
      <c r="J168" s="49"/>
      <c r="K168" s="35"/>
    </row>
    <row r="169" spans="1:11" s="48" customFormat="1" ht="13.2" x14ac:dyDescent="0.25">
      <c r="B169" s="43"/>
      <c r="C169" s="44" t="s">
        <v>16</v>
      </c>
      <c r="D169" s="43"/>
      <c r="E169" s="45"/>
      <c r="F169" s="45"/>
      <c r="G169" s="46"/>
      <c r="H169" s="46"/>
      <c r="I169" s="46">
        <f t="shared" si="22"/>
        <v>0</v>
      </c>
      <c r="J169" s="49"/>
      <c r="K169" s="35"/>
    </row>
    <row r="170" spans="1:11" s="48" customFormat="1" ht="13.2" x14ac:dyDescent="0.25">
      <c r="B170" s="43"/>
      <c r="C170" s="44" t="s">
        <v>16</v>
      </c>
      <c r="D170" s="43"/>
      <c r="E170" s="45"/>
      <c r="F170" s="45"/>
      <c r="G170" s="46"/>
      <c r="H170" s="46"/>
      <c r="I170" s="46">
        <f t="shared" si="22"/>
        <v>0</v>
      </c>
      <c r="J170" s="49"/>
      <c r="K170" s="35"/>
    </row>
    <row r="171" spans="1:11" s="48" customFormat="1" ht="13.2" x14ac:dyDescent="0.25">
      <c r="B171" s="43"/>
      <c r="C171" s="44" t="s">
        <v>16</v>
      </c>
      <c r="D171" s="43"/>
      <c r="E171" s="45"/>
      <c r="F171" s="45"/>
      <c r="G171" s="46"/>
      <c r="H171" s="46"/>
      <c r="I171" s="46">
        <f t="shared" si="22"/>
        <v>0</v>
      </c>
      <c r="J171" s="49"/>
      <c r="K171" s="35"/>
    </row>
    <row r="172" spans="1:11" s="48" customFormat="1" ht="13.2" x14ac:dyDescent="0.25">
      <c r="B172" s="43"/>
      <c r="C172" s="44" t="s">
        <v>16</v>
      </c>
      <c r="D172" s="43"/>
      <c r="E172" s="45"/>
      <c r="F172" s="45"/>
      <c r="G172" s="46"/>
      <c r="H172" s="46"/>
      <c r="I172" s="46">
        <f t="shared" si="22"/>
        <v>0</v>
      </c>
      <c r="J172" s="49"/>
      <c r="K172" s="35"/>
    </row>
    <row r="173" spans="1:11" s="48" customFormat="1" ht="13.2" x14ac:dyDescent="0.25">
      <c r="A173" s="42"/>
      <c r="B173" s="43"/>
      <c r="C173" s="44" t="s">
        <v>16</v>
      </c>
      <c r="D173" s="43"/>
      <c r="E173" s="45"/>
      <c r="F173" s="45"/>
      <c r="G173" s="46"/>
      <c r="H173" s="46"/>
      <c r="I173" s="46">
        <f t="shared" si="22"/>
        <v>0</v>
      </c>
      <c r="J173" s="49"/>
      <c r="K173" s="35"/>
    </row>
    <row r="174" spans="1:11" s="48" customFormat="1" ht="13.2" x14ac:dyDescent="0.25">
      <c r="A174" s="42"/>
      <c r="B174" s="43"/>
      <c r="C174" s="44" t="s">
        <v>16</v>
      </c>
      <c r="D174" s="43"/>
      <c r="E174" s="45"/>
      <c r="F174" s="45"/>
      <c r="G174" s="46"/>
      <c r="H174" s="46"/>
      <c r="I174" s="46">
        <f t="shared" si="22"/>
        <v>0</v>
      </c>
      <c r="J174" s="49"/>
      <c r="K174" s="35"/>
    </row>
    <row r="175" spans="1:11" s="48" customFormat="1" ht="13.2" x14ac:dyDescent="0.25">
      <c r="B175" s="43"/>
      <c r="C175" s="44" t="s">
        <v>16</v>
      </c>
      <c r="D175" s="43"/>
      <c r="E175" s="45"/>
      <c r="F175" s="45"/>
      <c r="G175" s="46"/>
      <c r="H175" s="46"/>
      <c r="I175" s="46">
        <f t="shared" si="22"/>
        <v>0</v>
      </c>
      <c r="J175" s="49"/>
      <c r="K175" s="35"/>
    </row>
    <row r="176" spans="1:11" s="48" customFormat="1" ht="13.2" x14ac:dyDescent="0.25">
      <c r="B176" s="43"/>
      <c r="C176" s="44" t="s">
        <v>16</v>
      </c>
      <c r="D176" s="43"/>
      <c r="E176" s="45"/>
      <c r="F176" s="45"/>
      <c r="G176" s="46"/>
      <c r="H176" s="46"/>
      <c r="I176" s="46">
        <f t="shared" si="22"/>
        <v>0</v>
      </c>
      <c r="J176" s="49"/>
      <c r="K176" s="35"/>
    </row>
    <row r="177" spans="1:11" s="48" customFormat="1" ht="13.2" x14ac:dyDescent="0.25">
      <c r="B177" s="43"/>
      <c r="C177" s="44" t="s">
        <v>16</v>
      </c>
      <c r="D177" s="43"/>
      <c r="E177" s="45"/>
      <c r="F177" s="45"/>
      <c r="G177" s="46"/>
      <c r="H177" s="46"/>
      <c r="I177" s="46">
        <f t="shared" si="22"/>
        <v>0</v>
      </c>
      <c r="J177" s="49"/>
      <c r="K177" s="35"/>
    </row>
    <row r="178" spans="1:11" s="48" customFormat="1" ht="13.2" x14ac:dyDescent="0.25">
      <c r="A178" s="42"/>
      <c r="B178" s="43"/>
      <c r="C178" s="44" t="s">
        <v>16</v>
      </c>
      <c r="D178" s="43"/>
      <c r="E178" s="45"/>
      <c r="F178" s="45"/>
      <c r="G178" s="46"/>
      <c r="H178" s="46"/>
      <c r="I178" s="46">
        <f t="shared" si="22"/>
        <v>0</v>
      </c>
      <c r="J178" s="49"/>
      <c r="K178" s="35"/>
    </row>
    <row r="179" spans="1:11" s="48" customFormat="1" ht="13.2" x14ac:dyDescent="0.25">
      <c r="A179" s="42"/>
      <c r="B179" s="43"/>
      <c r="C179" s="44" t="s">
        <v>16</v>
      </c>
      <c r="D179" s="43"/>
      <c r="E179" s="45"/>
      <c r="F179" s="45"/>
      <c r="G179" s="46"/>
      <c r="H179" s="46"/>
      <c r="I179" s="46">
        <f t="shared" si="22"/>
        <v>0</v>
      </c>
      <c r="J179" s="49"/>
      <c r="K179" s="35"/>
    </row>
    <row r="180" spans="1:11" s="48" customFormat="1" ht="13.2" x14ac:dyDescent="0.25">
      <c r="A180" s="42"/>
      <c r="B180" s="43"/>
      <c r="C180" s="44" t="s">
        <v>16</v>
      </c>
      <c r="D180" s="43"/>
      <c r="E180" s="45"/>
      <c r="F180" s="45"/>
      <c r="G180" s="46"/>
      <c r="H180" s="46"/>
      <c r="I180" s="46">
        <f t="shared" si="22"/>
        <v>0</v>
      </c>
      <c r="J180" s="49"/>
      <c r="K180" s="35"/>
    </row>
    <row r="181" spans="1:11" s="48" customFormat="1" ht="13.2" x14ac:dyDescent="0.25">
      <c r="A181" s="42"/>
      <c r="B181" s="43"/>
      <c r="C181" s="44" t="s">
        <v>16</v>
      </c>
      <c r="D181" s="43"/>
      <c r="E181" s="45"/>
      <c r="F181" s="45"/>
      <c r="G181" s="46"/>
      <c r="H181" s="46"/>
      <c r="I181" s="46">
        <f t="shared" si="22"/>
        <v>0</v>
      </c>
      <c r="J181" s="49"/>
      <c r="K181" s="35"/>
    </row>
    <row r="182" spans="1:11" s="48" customFormat="1" ht="13.2" x14ac:dyDescent="0.25">
      <c r="A182" s="42"/>
      <c r="B182" s="43"/>
      <c r="C182" s="44" t="s">
        <v>16</v>
      </c>
      <c r="D182" s="43"/>
      <c r="E182" s="45"/>
      <c r="F182" s="45"/>
      <c r="G182" s="46"/>
      <c r="H182" s="46"/>
      <c r="I182" s="46">
        <f t="shared" si="22"/>
        <v>0</v>
      </c>
      <c r="J182" s="49"/>
      <c r="K182" s="35"/>
    </row>
    <row r="183" spans="1:11" s="48" customFormat="1" ht="13.2" x14ac:dyDescent="0.25">
      <c r="A183" s="42"/>
      <c r="B183" s="43"/>
      <c r="C183" s="44" t="s">
        <v>16</v>
      </c>
      <c r="D183" s="43"/>
      <c r="E183" s="45"/>
      <c r="F183" s="45"/>
      <c r="G183" s="46"/>
      <c r="H183" s="46"/>
      <c r="I183" s="46">
        <f t="shared" si="22"/>
        <v>0</v>
      </c>
      <c r="J183" s="49"/>
      <c r="K183" s="35"/>
    </row>
    <row r="184" spans="1:11" s="48" customFormat="1" ht="13.2" x14ac:dyDescent="0.25">
      <c r="A184" s="42"/>
      <c r="B184" s="43"/>
      <c r="C184" s="44" t="s">
        <v>16</v>
      </c>
      <c r="D184" s="43"/>
      <c r="E184" s="45"/>
      <c r="F184" s="45"/>
      <c r="G184" s="46"/>
      <c r="H184" s="46"/>
      <c r="I184" s="46">
        <f t="shared" si="22"/>
        <v>0</v>
      </c>
      <c r="J184" s="49"/>
      <c r="K184" s="35"/>
    </row>
    <row r="185" spans="1:11" s="48" customFormat="1" ht="13.2" x14ac:dyDescent="0.25">
      <c r="A185" s="42"/>
      <c r="B185" s="43"/>
      <c r="C185" s="44" t="s">
        <v>16</v>
      </c>
      <c r="D185" s="43"/>
      <c r="E185" s="45"/>
      <c r="F185" s="45"/>
      <c r="G185" s="46"/>
      <c r="H185" s="46"/>
      <c r="I185" s="46">
        <f t="shared" ref="I185:I192" si="23">H185-G185</f>
        <v>0</v>
      </c>
      <c r="J185" s="49"/>
      <c r="K185" s="35"/>
    </row>
    <row r="186" spans="1:11" s="48" customFormat="1" ht="13.2" x14ac:dyDescent="0.25">
      <c r="A186" s="42"/>
      <c r="B186" s="43"/>
      <c r="C186" s="44" t="s">
        <v>16</v>
      </c>
      <c r="D186" s="43"/>
      <c r="E186" s="45"/>
      <c r="F186" s="45"/>
      <c r="G186" s="46"/>
      <c r="H186" s="46"/>
      <c r="I186" s="46">
        <f t="shared" si="23"/>
        <v>0</v>
      </c>
      <c r="J186" s="49"/>
      <c r="K186" s="35"/>
    </row>
    <row r="187" spans="1:11" s="48" customFormat="1" ht="13.2" x14ac:dyDescent="0.25">
      <c r="A187" s="42"/>
      <c r="B187" s="43"/>
      <c r="C187" s="44" t="s">
        <v>16</v>
      </c>
      <c r="D187" s="43"/>
      <c r="E187" s="45"/>
      <c r="F187" s="45"/>
      <c r="G187" s="46"/>
      <c r="H187" s="46"/>
      <c r="I187" s="46">
        <f t="shared" si="23"/>
        <v>0</v>
      </c>
      <c r="J187" s="49"/>
      <c r="K187" s="35"/>
    </row>
    <row r="188" spans="1:11" s="48" customFormat="1" ht="13.2" x14ac:dyDescent="0.25">
      <c r="A188" s="42"/>
      <c r="B188" s="43"/>
      <c r="C188" s="44" t="s">
        <v>16</v>
      </c>
      <c r="D188" s="43"/>
      <c r="E188" s="45"/>
      <c r="F188" s="45"/>
      <c r="G188" s="46"/>
      <c r="H188" s="46"/>
      <c r="I188" s="46">
        <f t="shared" si="23"/>
        <v>0</v>
      </c>
      <c r="J188" s="49"/>
      <c r="K188" s="35"/>
    </row>
    <row r="189" spans="1:11" s="48" customFormat="1" ht="13.2" x14ac:dyDescent="0.25">
      <c r="A189" s="42"/>
      <c r="B189" s="43"/>
      <c r="C189" s="44" t="s">
        <v>16</v>
      </c>
      <c r="D189" s="43"/>
      <c r="E189" s="45"/>
      <c r="F189" s="45"/>
      <c r="G189" s="46"/>
      <c r="H189" s="46"/>
      <c r="I189" s="46">
        <f t="shared" si="23"/>
        <v>0</v>
      </c>
      <c r="J189" s="49"/>
      <c r="K189" s="35"/>
    </row>
    <row r="190" spans="1:11" s="48" customFormat="1" ht="13.2" x14ac:dyDescent="0.25">
      <c r="A190" s="42"/>
      <c r="B190" s="43"/>
      <c r="C190" s="44" t="s">
        <v>16</v>
      </c>
      <c r="D190" s="43"/>
      <c r="E190" s="45"/>
      <c r="F190" s="45"/>
      <c r="G190" s="46"/>
      <c r="H190" s="46"/>
      <c r="I190" s="46">
        <f t="shared" si="23"/>
        <v>0</v>
      </c>
      <c r="J190" s="49"/>
      <c r="K190" s="35"/>
    </row>
    <row r="191" spans="1:11" s="48" customFormat="1" ht="13.2" x14ac:dyDescent="0.25">
      <c r="A191" s="42"/>
      <c r="B191" s="43"/>
      <c r="C191" s="44" t="s">
        <v>16</v>
      </c>
      <c r="D191" s="43"/>
      <c r="E191" s="45"/>
      <c r="F191" s="45"/>
      <c r="G191" s="46"/>
      <c r="H191" s="46"/>
      <c r="I191" s="46">
        <f t="shared" si="23"/>
        <v>0</v>
      </c>
      <c r="J191" s="49"/>
      <c r="K191" s="35"/>
    </row>
    <row r="192" spans="1:11" s="48" customFormat="1" ht="13.2" x14ac:dyDescent="0.25">
      <c r="A192" s="42"/>
      <c r="B192" s="43"/>
      <c r="C192" s="44" t="s">
        <v>16</v>
      </c>
      <c r="D192" s="43"/>
      <c r="E192" s="45"/>
      <c r="F192" s="45"/>
      <c r="G192" s="46"/>
      <c r="H192" s="46"/>
      <c r="I192" s="46">
        <f t="shared" si="23"/>
        <v>0</v>
      </c>
      <c r="J192" s="49"/>
      <c r="K192" s="35"/>
    </row>
    <row r="193" spans="1:11" s="48" customFormat="1" ht="13.2" x14ac:dyDescent="0.25">
      <c r="A193" s="42"/>
      <c r="B193" s="43"/>
      <c r="C193" s="44" t="s">
        <v>16</v>
      </c>
      <c r="D193" s="43"/>
      <c r="E193" s="45"/>
      <c r="F193" s="45"/>
      <c r="G193" s="46"/>
      <c r="H193" s="46"/>
      <c r="I193" s="46">
        <f t="shared" si="22"/>
        <v>0</v>
      </c>
      <c r="J193" s="49"/>
      <c r="K193" s="35"/>
    </row>
    <row r="194" spans="1:11" s="48" customFormat="1" ht="13.2" x14ac:dyDescent="0.25">
      <c r="A194" s="42"/>
      <c r="B194" s="43"/>
      <c r="C194" s="44" t="s">
        <v>16</v>
      </c>
      <c r="D194" s="43"/>
      <c r="E194" s="45"/>
      <c r="F194" s="45"/>
      <c r="G194" s="46"/>
      <c r="H194" s="46"/>
      <c r="I194" s="46">
        <f t="shared" si="22"/>
        <v>0</v>
      </c>
      <c r="J194" s="49"/>
      <c r="K194" s="35"/>
    </row>
    <row r="195" spans="1:11" ht="13.2" x14ac:dyDescent="0.25">
      <c r="A195" s="37"/>
      <c r="B195" s="38"/>
      <c r="C195" s="38"/>
      <c r="D195" s="38"/>
      <c r="E195" s="38" t="s">
        <v>17</v>
      </c>
      <c r="F195" s="38"/>
      <c r="G195" s="39">
        <f>SUM(G154:G194)</f>
        <v>0</v>
      </c>
      <c r="H195" s="39">
        <f>SUM(H154:H194)</f>
        <v>0</v>
      </c>
      <c r="I195" s="39">
        <f t="shared" si="22"/>
        <v>0</v>
      </c>
      <c r="J195" s="40"/>
      <c r="K195" s="41"/>
    </row>
    <row r="196" spans="1:11" s="55" customFormat="1" ht="18.75" customHeight="1" x14ac:dyDescent="0.25">
      <c r="A196" s="58" t="s">
        <v>23</v>
      </c>
      <c r="B196" s="59"/>
      <c r="C196" s="59"/>
      <c r="D196" s="59"/>
      <c r="E196" s="59"/>
      <c r="F196" s="59"/>
      <c r="G196" s="59"/>
      <c r="H196" s="59"/>
      <c r="I196" s="59"/>
      <c r="J196" s="59"/>
      <c r="K196" s="60"/>
    </row>
    <row r="197" spans="1:11" s="55" customFormat="1" ht="13.2" x14ac:dyDescent="0.25">
      <c r="A197" s="56" t="s">
        <v>12</v>
      </c>
      <c r="B197" s="61" t="s">
        <v>13</v>
      </c>
      <c r="C197" s="59"/>
      <c r="D197" s="59"/>
      <c r="E197" s="59"/>
      <c r="F197" s="59"/>
      <c r="G197" s="59"/>
      <c r="H197" s="59"/>
      <c r="I197" s="59"/>
      <c r="J197" s="59"/>
      <c r="K197" s="60"/>
    </row>
    <row r="198" spans="1:11" s="55" customFormat="1" ht="28.5" customHeight="1" x14ac:dyDescent="0.25">
      <c r="A198" s="57" t="s">
        <v>14</v>
      </c>
      <c r="B198" s="61" t="s">
        <v>15</v>
      </c>
      <c r="C198" s="59"/>
      <c r="D198" s="59"/>
      <c r="E198" s="59"/>
      <c r="F198" s="59"/>
      <c r="G198" s="59"/>
      <c r="H198" s="59"/>
      <c r="I198" s="59"/>
      <c r="J198" s="59"/>
      <c r="K198" s="60"/>
    </row>
    <row r="199" spans="1:11" s="48" customFormat="1" ht="13.2" x14ac:dyDescent="0.25">
      <c r="A199" s="42"/>
      <c r="B199" s="43"/>
      <c r="C199" s="44" t="s">
        <v>16</v>
      </c>
      <c r="D199" s="43"/>
      <c r="E199" s="45"/>
      <c r="F199" s="45"/>
      <c r="G199" s="46"/>
      <c r="H199" s="46"/>
      <c r="I199" s="46">
        <f t="shared" ref="I199:I240" si="24">H199-G199</f>
        <v>0</v>
      </c>
      <c r="J199" s="49"/>
      <c r="K199" s="35"/>
    </row>
    <row r="200" spans="1:11" s="48" customFormat="1" ht="13.2" x14ac:dyDescent="0.25">
      <c r="A200" s="42"/>
      <c r="B200" s="43"/>
      <c r="C200" s="44" t="s">
        <v>16</v>
      </c>
      <c r="D200" s="43"/>
      <c r="E200" s="45"/>
      <c r="F200" s="45"/>
      <c r="G200" s="46"/>
      <c r="H200" s="46"/>
      <c r="I200" s="46">
        <f t="shared" si="24"/>
        <v>0</v>
      </c>
      <c r="J200" s="49"/>
      <c r="K200" s="35"/>
    </row>
    <row r="201" spans="1:11" s="48" customFormat="1" ht="13.2" x14ac:dyDescent="0.25">
      <c r="A201" s="42"/>
      <c r="B201" s="43"/>
      <c r="C201" s="44" t="s">
        <v>16</v>
      </c>
      <c r="D201" s="43"/>
      <c r="E201" s="45"/>
      <c r="F201" s="45"/>
      <c r="G201" s="46"/>
      <c r="H201" s="46"/>
      <c r="I201" s="46">
        <f t="shared" si="24"/>
        <v>0</v>
      </c>
      <c r="J201" s="49"/>
      <c r="K201" s="35"/>
    </row>
    <row r="202" spans="1:11" s="48" customFormat="1" ht="13.2" x14ac:dyDescent="0.25">
      <c r="A202" s="42"/>
      <c r="B202" s="43"/>
      <c r="C202" s="44" t="s">
        <v>16</v>
      </c>
      <c r="D202" s="43"/>
      <c r="E202" s="45"/>
      <c r="F202" s="45"/>
      <c r="G202" s="46"/>
      <c r="H202" s="46"/>
      <c r="I202" s="46">
        <f t="shared" si="24"/>
        <v>0</v>
      </c>
      <c r="J202" s="49"/>
      <c r="K202" s="35"/>
    </row>
    <row r="203" spans="1:11" s="48" customFormat="1" ht="13.2" x14ac:dyDescent="0.25">
      <c r="A203" s="42"/>
      <c r="B203" s="43"/>
      <c r="C203" s="44" t="s">
        <v>16</v>
      </c>
      <c r="D203" s="43"/>
      <c r="E203" s="45"/>
      <c r="F203" s="45"/>
      <c r="G203" s="46"/>
      <c r="H203" s="46"/>
      <c r="I203" s="46">
        <f t="shared" si="24"/>
        <v>0</v>
      </c>
      <c r="J203" s="49"/>
      <c r="K203" s="35"/>
    </row>
    <row r="204" spans="1:11" s="48" customFormat="1" ht="13.2" x14ac:dyDescent="0.25">
      <c r="A204" s="42"/>
      <c r="B204" s="43"/>
      <c r="C204" s="44" t="s">
        <v>16</v>
      </c>
      <c r="D204" s="43"/>
      <c r="E204" s="45"/>
      <c r="F204" s="45"/>
      <c r="G204" s="46"/>
      <c r="H204" s="46"/>
      <c r="I204" s="46">
        <f t="shared" si="24"/>
        <v>0</v>
      </c>
      <c r="J204" s="49"/>
      <c r="K204" s="35"/>
    </row>
    <row r="205" spans="1:11" s="48" customFormat="1" ht="13.2" x14ac:dyDescent="0.25">
      <c r="A205" s="42"/>
      <c r="B205" s="43"/>
      <c r="C205" s="44" t="s">
        <v>16</v>
      </c>
      <c r="D205" s="43"/>
      <c r="E205" s="45"/>
      <c r="F205" s="45"/>
      <c r="G205" s="46"/>
      <c r="H205" s="46"/>
      <c r="I205" s="46">
        <f t="shared" si="24"/>
        <v>0</v>
      </c>
      <c r="J205" s="49"/>
      <c r="K205" s="35"/>
    </row>
    <row r="206" spans="1:11" s="48" customFormat="1" ht="13.2" x14ac:dyDescent="0.25">
      <c r="B206" s="43"/>
      <c r="C206" s="44" t="s">
        <v>16</v>
      </c>
      <c r="D206" s="43"/>
      <c r="E206" s="45"/>
      <c r="F206" s="45"/>
      <c r="G206" s="46"/>
      <c r="H206" s="46"/>
      <c r="I206" s="46">
        <f t="shared" si="24"/>
        <v>0</v>
      </c>
      <c r="J206" s="49"/>
      <c r="K206" s="35"/>
    </row>
    <row r="207" spans="1:11" s="48" customFormat="1" ht="13.2" x14ac:dyDescent="0.25">
      <c r="B207" s="43"/>
      <c r="C207" s="44" t="s">
        <v>16</v>
      </c>
      <c r="D207" s="43"/>
      <c r="E207" s="45"/>
      <c r="F207" s="45"/>
      <c r="G207" s="46"/>
      <c r="H207" s="46"/>
      <c r="I207" s="46">
        <f t="shared" si="24"/>
        <v>0</v>
      </c>
      <c r="J207" s="49"/>
      <c r="K207" s="35"/>
    </row>
    <row r="208" spans="1:11" s="48" customFormat="1" ht="13.2" x14ac:dyDescent="0.25">
      <c r="A208" s="42"/>
      <c r="B208" s="43"/>
      <c r="C208" s="44" t="s">
        <v>16</v>
      </c>
      <c r="D208" s="43"/>
      <c r="E208" s="45"/>
      <c r="F208" s="45"/>
      <c r="G208" s="46"/>
      <c r="H208" s="46"/>
      <c r="I208" s="46">
        <f t="shared" si="24"/>
        <v>0</v>
      </c>
      <c r="J208" s="49"/>
      <c r="K208" s="35"/>
    </row>
    <row r="209" spans="1:11" s="48" customFormat="1" ht="13.2" x14ac:dyDescent="0.25">
      <c r="A209" s="42"/>
      <c r="B209" s="43"/>
      <c r="C209" s="44" t="s">
        <v>16</v>
      </c>
      <c r="D209" s="43"/>
      <c r="E209" s="45"/>
      <c r="F209" s="45"/>
      <c r="G209" s="46"/>
      <c r="H209" s="46"/>
      <c r="I209" s="46">
        <f t="shared" si="24"/>
        <v>0</v>
      </c>
      <c r="J209" s="49"/>
      <c r="K209" s="35"/>
    </row>
    <row r="210" spans="1:11" s="48" customFormat="1" ht="13.2" x14ac:dyDescent="0.25">
      <c r="A210" s="42"/>
      <c r="B210" s="43"/>
      <c r="C210" s="44" t="s">
        <v>16</v>
      </c>
      <c r="D210" s="43"/>
      <c r="E210" s="45"/>
      <c r="F210" s="45"/>
      <c r="G210" s="46"/>
      <c r="H210" s="46"/>
      <c r="I210" s="46">
        <f t="shared" si="24"/>
        <v>0</v>
      </c>
      <c r="J210" s="49"/>
      <c r="K210" s="35"/>
    </row>
    <row r="211" spans="1:11" s="48" customFormat="1" ht="13.2" x14ac:dyDescent="0.25">
      <c r="B211" s="43"/>
      <c r="C211" s="44" t="s">
        <v>16</v>
      </c>
      <c r="D211" s="43"/>
      <c r="E211" s="45"/>
      <c r="F211" s="45"/>
      <c r="G211" s="46"/>
      <c r="H211" s="46"/>
      <c r="I211" s="46">
        <f t="shared" si="24"/>
        <v>0</v>
      </c>
      <c r="J211" s="49"/>
      <c r="K211" s="35"/>
    </row>
    <row r="212" spans="1:11" s="48" customFormat="1" ht="13.2" x14ac:dyDescent="0.25">
      <c r="B212" s="43"/>
      <c r="C212" s="44" t="s">
        <v>16</v>
      </c>
      <c r="D212" s="43"/>
      <c r="E212" s="45"/>
      <c r="F212" s="45"/>
      <c r="G212" s="46"/>
      <c r="H212" s="46"/>
      <c r="I212" s="46">
        <f t="shared" si="24"/>
        <v>0</v>
      </c>
      <c r="J212" s="49"/>
      <c r="K212" s="35"/>
    </row>
    <row r="213" spans="1:11" s="48" customFormat="1" ht="13.2" x14ac:dyDescent="0.25">
      <c r="B213" s="43"/>
      <c r="C213" s="44" t="s">
        <v>16</v>
      </c>
      <c r="D213" s="43"/>
      <c r="E213" s="45"/>
      <c r="F213" s="45"/>
      <c r="G213" s="46"/>
      <c r="H213" s="46"/>
      <c r="I213" s="46">
        <f t="shared" si="24"/>
        <v>0</v>
      </c>
      <c r="J213" s="49"/>
      <c r="K213" s="35"/>
    </row>
    <row r="214" spans="1:11" s="48" customFormat="1" ht="13.2" x14ac:dyDescent="0.25">
      <c r="B214" s="43"/>
      <c r="C214" s="44" t="s">
        <v>16</v>
      </c>
      <c r="D214" s="43"/>
      <c r="E214" s="45"/>
      <c r="F214" s="45"/>
      <c r="G214" s="46"/>
      <c r="H214" s="46"/>
      <c r="I214" s="46">
        <f t="shared" si="24"/>
        <v>0</v>
      </c>
      <c r="J214" s="49"/>
      <c r="K214" s="35"/>
    </row>
    <row r="215" spans="1:11" s="48" customFormat="1" ht="13.2" x14ac:dyDescent="0.25">
      <c r="B215" s="43"/>
      <c r="C215" s="44" t="s">
        <v>16</v>
      </c>
      <c r="D215" s="43"/>
      <c r="E215" s="45"/>
      <c r="F215" s="45"/>
      <c r="G215" s="46"/>
      <c r="H215" s="46"/>
      <c r="I215" s="46">
        <f t="shared" si="24"/>
        <v>0</v>
      </c>
      <c r="J215" s="49"/>
      <c r="K215" s="35"/>
    </row>
    <row r="216" spans="1:11" s="48" customFormat="1" ht="13.2" x14ac:dyDescent="0.25">
      <c r="A216" s="42"/>
      <c r="B216" s="43"/>
      <c r="C216" s="44" t="s">
        <v>16</v>
      </c>
      <c r="D216" s="43"/>
      <c r="E216" s="45"/>
      <c r="F216" s="45"/>
      <c r="G216" s="46"/>
      <c r="H216" s="46"/>
      <c r="I216" s="46">
        <f t="shared" si="24"/>
        <v>0</v>
      </c>
      <c r="J216" s="49"/>
      <c r="K216" s="35"/>
    </row>
    <row r="217" spans="1:11" s="48" customFormat="1" ht="13.2" x14ac:dyDescent="0.25">
      <c r="A217" s="42"/>
      <c r="B217" s="43"/>
      <c r="C217" s="44" t="s">
        <v>16</v>
      </c>
      <c r="D217" s="43"/>
      <c r="E217" s="45"/>
      <c r="F217" s="45"/>
      <c r="G217" s="46"/>
      <c r="H217" s="46"/>
      <c r="I217" s="46">
        <f t="shared" si="24"/>
        <v>0</v>
      </c>
      <c r="J217" s="49"/>
      <c r="K217" s="35"/>
    </row>
    <row r="218" spans="1:11" s="48" customFormat="1" ht="13.2" x14ac:dyDescent="0.25">
      <c r="B218" s="43"/>
      <c r="C218" s="44" t="s">
        <v>16</v>
      </c>
      <c r="D218" s="43"/>
      <c r="E218" s="45"/>
      <c r="F218" s="45"/>
      <c r="G218" s="46"/>
      <c r="H218" s="46"/>
      <c r="I218" s="46">
        <f t="shared" si="24"/>
        <v>0</v>
      </c>
      <c r="J218" s="49"/>
      <c r="K218" s="35"/>
    </row>
    <row r="219" spans="1:11" s="48" customFormat="1" ht="13.2" x14ac:dyDescent="0.25">
      <c r="B219" s="43"/>
      <c r="C219" s="44" t="s">
        <v>16</v>
      </c>
      <c r="D219" s="43"/>
      <c r="E219" s="45"/>
      <c r="F219" s="45"/>
      <c r="G219" s="46"/>
      <c r="H219" s="46"/>
      <c r="I219" s="46">
        <f t="shared" si="24"/>
        <v>0</v>
      </c>
      <c r="J219" s="49"/>
      <c r="K219" s="35"/>
    </row>
    <row r="220" spans="1:11" s="48" customFormat="1" ht="13.2" x14ac:dyDescent="0.25">
      <c r="B220" s="43"/>
      <c r="C220" s="44" t="s">
        <v>16</v>
      </c>
      <c r="D220" s="43"/>
      <c r="E220" s="45"/>
      <c r="F220" s="45"/>
      <c r="G220" s="46"/>
      <c r="H220" s="46"/>
      <c r="I220" s="46">
        <f t="shared" si="24"/>
        <v>0</v>
      </c>
      <c r="J220" s="49"/>
      <c r="K220" s="35"/>
    </row>
    <row r="221" spans="1:11" s="48" customFormat="1" ht="13.2" x14ac:dyDescent="0.25">
      <c r="A221" s="42"/>
      <c r="B221" s="43"/>
      <c r="C221" s="44" t="s">
        <v>16</v>
      </c>
      <c r="D221" s="43"/>
      <c r="E221" s="45"/>
      <c r="F221" s="45"/>
      <c r="G221" s="46"/>
      <c r="H221" s="46"/>
      <c r="I221" s="46">
        <f t="shared" si="24"/>
        <v>0</v>
      </c>
      <c r="J221" s="49"/>
      <c r="K221" s="35"/>
    </row>
    <row r="222" spans="1:11" s="48" customFormat="1" ht="13.2" x14ac:dyDescent="0.25">
      <c r="A222" s="42"/>
      <c r="B222" s="43"/>
      <c r="C222" s="44" t="s">
        <v>16</v>
      </c>
      <c r="D222" s="43"/>
      <c r="E222" s="45"/>
      <c r="F222" s="45"/>
      <c r="G222" s="46"/>
      <c r="H222" s="46"/>
      <c r="I222" s="46">
        <f t="shared" si="24"/>
        <v>0</v>
      </c>
      <c r="J222" s="49"/>
      <c r="K222" s="35"/>
    </row>
    <row r="223" spans="1:11" s="48" customFormat="1" ht="13.2" x14ac:dyDescent="0.25">
      <c r="A223" s="42"/>
      <c r="B223" s="43"/>
      <c r="C223" s="44" t="s">
        <v>16</v>
      </c>
      <c r="D223" s="43"/>
      <c r="E223" s="45"/>
      <c r="F223" s="45"/>
      <c r="G223" s="46"/>
      <c r="H223" s="46"/>
      <c r="I223" s="46">
        <f t="shared" si="24"/>
        <v>0</v>
      </c>
      <c r="J223" s="49"/>
      <c r="K223" s="35"/>
    </row>
    <row r="224" spans="1:11" s="48" customFormat="1" ht="13.2" x14ac:dyDescent="0.25">
      <c r="A224" s="42"/>
      <c r="B224" s="43"/>
      <c r="C224" s="44" t="s">
        <v>16</v>
      </c>
      <c r="D224" s="43"/>
      <c r="E224" s="45"/>
      <c r="F224" s="45"/>
      <c r="G224" s="46"/>
      <c r="H224" s="46"/>
      <c r="I224" s="46">
        <f t="shared" si="24"/>
        <v>0</v>
      </c>
      <c r="J224" s="49"/>
      <c r="K224" s="35"/>
    </row>
    <row r="225" spans="1:11" s="48" customFormat="1" ht="13.2" x14ac:dyDescent="0.25">
      <c r="A225" s="42"/>
      <c r="B225" s="43"/>
      <c r="C225" s="44" t="s">
        <v>16</v>
      </c>
      <c r="D225" s="43"/>
      <c r="E225" s="45"/>
      <c r="F225" s="45"/>
      <c r="G225" s="46"/>
      <c r="H225" s="46"/>
      <c r="I225" s="46">
        <f t="shared" si="24"/>
        <v>0</v>
      </c>
      <c r="J225" s="49"/>
      <c r="K225" s="35"/>
    </row>
    <row r="226" spans="1:11" s="48" customFormat="1" ht="13.2" x14ac:dyDescent="0.25">
      <c r="A226" s="42"/>
      <c r="B226" s="43"/>
      <c r="C226" s="44" t="s">
        <v>16</v>
      </c>
      <c r="D226" s="43"/>
      <c r="E226" s="45"/>
      <c r="F226" s="45"/>
      <c r="G226" s="46"/>
      <c r="H226" s="46"/>
      <c r="I226" s="46">
        <f t="shared" si="24"/>
        <v>0</v>
      </c>
      <c r="J226" s="49"/>
      <c r="K226" s="35"/>
    </row>
    <row r="227" spans="1:11" s="48" customFormat="1" ht="13.2" x14ac:dyDescent="0.25">
      <c r="A227" s="42"/>
      <c r="B227" s="43"/>
      <c r="C227" s="44" t="s">
        <v>16</v>
      </c>
      <c r="D227" s="43"/>
      <c r="E227" s="45"/>
      <c r="F227" s="45"/>
      <c r="G227" s="46"/>
      <c r="H227" s="46"/>
      <c r="I227" s="46">
        <f t="shared" si="24"/>
        <v>0</v>
      </c>
      <c r="J227" s="49"/>
      <c r="K227" s="35"/>
    </row>
    <row r="228" spans="1:11" s="48" customFormat="1" ht="13.2" x14ac:dyDescent="0.25">
      <c r="A228" s="42"/>
      <c r="B228" s="43"/>
      <c r="C228" s="44" t="s">
        <v>16</v>
      </c>
      <c r="D228" s="43"/>
      <c r="E228" s="45"/>
      <c r="F228" s="45"/>
      <c r="G228" s="46"/>
      <c r="H228" s="46"/>
      <c r="I228" s="46">
        <f t="shared" si="24"/>
        <v>0</v>
      </c>
      <c r="J228" s="49"/>
      <c r="K228" s="35"/>
    </row>
    <row r="229" spans="1:11" s="48" customFormat="1" ht="13.2" x14ac:dyDescent="0.25">
      <c r="A229" s="42"/>
      <c r="B229" s="43"/>
      <c r="C229" s="44" t="s">
        <v>16</v>
      </c>
      <c r="D229" s="43"/>
      <c r="E229" s="45"/>
      <c r="F229" s="45"/>
      <c r="G229" s="46"/>
      <c r="H229" s="46"/>
      <c r="I229" s="46">
        <f t="shared" si="24"/>
        <v>0</v>
      </c>
      <c r="J229" s="49"/>
      <c r="K229" s="35"/>
    </row>
    <row r="230" spans="1:11" s="48" customFormat="1" ht="13.2" x14ac:dyDescent="0.25">
      <c r="A230" s="42"/>
      <c r="B230" s="43"/>
      <c r="C230" s="44" t="s">
        <v>16</v>
      </c>
      <c r="D230" s="43"/>
      <c r="E230" s="45"/>
      <c r="F230" s="45"/>
      <c r="G230" s="46"/>
      <c r="H230" s="46"/>
      <c r="I230" s="46">
        <f t="shared" si="24"/>
        <v>0</v>
      </c>
      <c r="J230" s="49"/>
      <c r="K230" s="35"/>
    </row>
    <row r="231" spans="1:11" s="48" customFormat="1" ht="13.2" x14ac:dyDescent="0.25">
      <c r="A231" s="42"/>
      <c r="B231" s="43"/>
      <c r="C231" s="44" t="s">
        <v>16</v>
      </c>
      <c r="D231" s="43"/>
      <c r="E231" s="45"/>
      <c r="F231" s="45"/>
      <c r="G231" s="46"/>
      <c r="H231" s="46"/>
      <c r="I231" s="46">
        <f t="shared" si="24"/>
        <v>0</v>
      </c>
      <c r="J231" s="49"/>
      <c r="K231" s="35"/>
    </row>
    <row r="232" spans="1:11" s="48" customFormat="1" ht="13.2" x14ac:dyDescent="0.25">
      <c r="A232" s="42"/>
      <c r="B232" s="43"/>
      <c r="C232" s="44" t="s">
        <v>16</v>
      </c>
      <c r="D232" s="43"/>
      <c r="E232" s="45"/>
      <c r="F232" s="45"/>
      <c r="G232" s="46"/>
      <c r="H232" s="46"/>
      <c r="I232" s="46">
        <f t="shared" si="24"/>
        <v>0</v>
      </c>
      <c r="J232" s="49"/>
      <c r="K232" s="35"/>
    </row>
    <row r="233" spans="1:11" s="48" customFormat="1" ht="13.2" x14ac:dyDescent="0.25">
      <c r="A233" s="42"/>
      <c r="B233" s="43"/>
      <c r="C233" s="44" t="s">
        <v>16</v>
      </c>
      <c r="D233" s="43"/>
      <c r="E233" s="45"/>
      <c r="F233" s="45"/>
      <c r="G233" s="46"/>
      <c r="H233" s="46"/>
      <c r="I233" s="46">
        <f t="shared" si="24"/>
        <v>0</v>
      </c>
      <c r="J233" s="49"/>
      <c r="K233" s="35"/>
    </row>
    <row r="234" spans="1:11" s="48" customFormat="1" ht="13.2" x14ac:dyDescent="0.25">
      <c r="A234" s="42"/>
      <c r="B234" s="43"/>
      <c r="C234" s="44" t="s">
        <v>16</v>
      </c>
      <c r="D234" s="43"/>
      <c r="E234" s="45"/>
      <c r="F234" s="45"/>
      <c r="G234" s="46"/>
      <c r="H234" s="46"/>
      <c r="I234" s="46">
        <f t="shared" si="24"/>
        <v>0</v>
      </c>
      <c r="J234" s="49"/>
      <c r="K234" s="35"/>
    </row>
    <row r="235" spans="1:11" s="48" customFormat="1" ht="13.2" x14ac:dyDescent="0.25">
      <c r="A235" s="42"/>
      <c r="B235" s="43"/>
      <c r="C235" s="44" t="s">
        <v>16</v>
      </c>
      <c r="D235" s="43"/>
      <c r="E235" s="45"/>
      <c r="F235" s="45"/>
      <c r="G235" s="46"/>
      <c r="H235" s="46"/>
      <c r="I235" s="46">
        <f t="shared" si="24"/>
        <v>0</v>
      </c>
      <c r="J235" s="49"/>
      <c r="K235" s="35"/>
    </row>
    <row r="236" spans="1:11" s="48" customFormat="1" ht="13.2" x14ac:dyDescent="0.25">
      <c r="A236" s="42"/>
      <c r="B236" s="43"/>
      <c r="C236" s="44" t="s">
        <v>16</v>
      </c>
      <c r="D236" s="43"/>
      <c r="E236" s="45"/>
      <c r="F236" s="45"/>
      <c r="G236" s="46"/>
      <c r="H236" s="46"/>
      <c r="I236" s="46">
        <f t="shared" si="24"/>
        <v>0</v>
      </c>
      <c r="J236" s="49"/>
      <c r="K236" s="35"/>
    </row>
    <row r="237" spans="1:11" s="48" customFormat="1" ht="13.2" x14ac:dyDescent="0.25">
      <c r="A237" s="42"/>
      <c r="B237" s="43"/>
      <c r="C237" s="44" t="s">
        <v>16</v>
      </c>
      <c r="D237" s="43"/>
      <c r="E237" s="45"/>
      <c r="F237" s="45"/>
      <c r="G237" s="46"/>
      <c r="H237" s="46"/>
      <c r="I237" s="46">
        <f t="shared" si="24"/>
        <v>0</v>
      </c>
      <c r="J237" s="49"/>
      <c r="K237" s="35"/>
    </row>
    <row r="238" spans="1:11" s="48" customFormat="1" ht="13.2" x14ac:dyDescent="0.25">
      <c r="A238" s="42"/>
      <c r="B238" s="43"/>
      <c r="C238" s="44" t="s">
        <v>16</v>
      </c>
      <c r="D238" s="43"/>
      <c r="E238" s="45"/>
      <c r="F238" s="45"/>
      <c r="G238" s="46"/>
      <c r="H238" s="46"/>
      <c r="I238" s="46">
        <f t="shared" si="24"/>
        <v>0</v>
      </c>
      <c r="J238" s="49"/>
      <c r="K238" s="35"/>
    </row>
    <row r="239" spans="1:11" s="48" customFormat="1" ht="13.2" x14ac:dyDescent="0.25">
      <c r="A239" s="42"/>
      <c r="B239" s="43"/>
      <c r="C239" s="44" t="s">
        <v>16</v>
      </c>
      <c r="D239" s="43"/>
      <c r="E239" s="45"/>
      <c r="F239" s="45"/>
      <c r="G239" s="46"/>
      <c r="H239" s="46"/>
      <c r="I239" s="46">
        <f t="shared" si="24"/>
        <v>0</v>
      </c>
      <c r="J239" s="49"/>
      <c r="K239" s="35"/>
    </row>
    <row r="240" spans="1:11" ht="13.2" x14ac:dyDescent="0.25">
      <c r="A240" s="37"/>
      <c r="B240" s="38"/>
      <c r="C240" s="38"/>
      <c r="D240" s="38"/>
      <c r="E240" s="38" t="s">
        <v>17</v>
      </c>
      <c r="F240" s="38"/>
      <c r="G240" s="39">
        <f t="shared" ref="G240:H240" si="25">SUM(G199:G239)</f>
        <v>0</v>
      </c>
      <c r="H240" s="39">
        <f t="shared" si="25"/>
        <v>0</v>
      </c>
      <c r="I240" s="39">
        <f t="shared" si="24"/>
        <v>0</v>
      </c>
      <c r="J240" s="40"/>
      <c r="K240" s="41"/>
    </row>
  </sheetData>
  <autoFilter ref="A1:K22" xr:uid="{00000000-0009-0000-0000-000000000000}"/>
  <customSheetViews>
    <customSheetView guid="{8BAC9A6B-5D32-4E8D-967D-E17D357516F8}" filter="1" showAutoFilter="1">
      <pageMargins left="0" right="0" top="0" bottom="0" header="0" footer="0"/>
      <autoFilter ref="A1:K15" xr:uid="{D59587F7-CF62-415A-92AE-77EADB120213}">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B25:K25"/>
    <mergeCell ref="A42:K42"/>
    <mergeCell ref="B43:K43"/>
    <mergeCell ref="B44:K44"/>
    <mergeCell ref="B111:K111"/>
    <mergeCell ref="B90:K90"/>
    <mergeCell ref="B91:K91"/>
    <mergeCell ref="A2:K2"/>
    <mergeCell ref="B3:K3"/>
    <mergeCell ref="B4:K4"/>
    <mergeCell ref="A23:K23"/>
    <mergeCell ref="B24:K24"/>
    <mergeCell ref="A196:K196"/>
    <mergeCell ref="B197:K197"/>
    <mergeCell ref="B198:K198"/>
    <mergeCell ref="A110:K110"/>
    <mergeCell ref="A67:K67"/>
    <mergeCell ref="B68:K68"/>
    <mergeCell ref="B69:K69"/>
    <mergeCell ref="A89:K89"/>
    <mergeCell ref="A151:K151"/>
    <mergeCell ref="B152:K152"/>
    <mergeCell ref="B153:K153"/>
    <mergeCell ref="B112:K112"/>
  </mergeCells>
  <phoneticPr fontId="16" type="noConversion"/>
  <conditionalFormatting sqref="B5:B21 B24:B40 B45:B65 B70:B87 B92:B108 B113:B149">
    <cfRule type="containsText" dxfId="30" priority="37" operator="containsText" text="Unplanned">
      <formula>NOT(ISERROR(SEARCH(("Unplanned"),(B5))))</formula>
    </cfRule>
    <cfRule type="containsText" dxfId="29" priority="38" operator="containsText" text="Planned">
      <formula>NOT(ISERROR(SEARCH(("Planned"),(B5))))</formula>
    </cfRule>
    <cfRule type="containsText" dxfId="28" priority="39" operator="containsText" text="In-Progress">
      <formula>NOT(ISERROR(SEARCH(("In-Progress"),(B5))))</formula>
    </cfRule>
    <cfRule type="containsText" dxfId="27" priority="40" operator="containsText" text="Blocked">
      <formula>NOT(ISERROR(SEARCH(("Blocked"),(B5))))</formula>
    </cfRule>
    <cfRule type="containsText" dxfId="26" priority="41" operator="containsText" text="Done">
      <formula>NOT(ISERROR(SEARCH(("Done"),(B5))))</formula>
    </cfRule>
  </conditionalFormatting>
  <conditionalFormatting sqref="B5:B22 B24:B41 B43:B66 B68:B88 B90:B109 B111:B150 B152:B195">
    <cfRule type="containsText" dxfId="25" priority="42" operator="containsText" text="Unplanned">
      <formula>NOT(ISERROR(SEARCH(("Unplanned"),(B5))))</formula>
    </cfRule>
    <cfRule type="containsText" dxfId="24" priority="43" operator="containsText" text="Cancelled">
      <formula>NOT(ISERROR(SEARCH(("Cancelled"),(B5))))</formula>
    </cfRule>
  </conditionalFormatting>
  <conditionalFormatting sqref="B154:B194">
    <cfRule type="containsText" dxfId="23" priority="13" operator="containsText" text="Unplanned">
      <formula>NOT(ISERROR(SEARCH(("Unplanned"),(B154))))</formula>
    </cfRule>
    <cfRule type="containsText" dxfId="22" priority="14" operator="containsText" text="Planned">
      <formula>NOT(ISERROR(SEARCH(("Planned"),(B154))))</formula>
    </cfRule>
    <cfRule type="containsText" dxfId="21" priority="15" operator="containsText" text="In-Progress">
      <formula>NOT(ISERROR(SEARCH(("In-Progress"),(B154))))</formula>
    </cfRule>
    <cfRule type="containsText" dxfId="20" priority="16" operator="containsText" text="Blocked">
      <formula>NOT(ISERROR(SEARCH(("Blocked"),(B154))))</formula>
    </cfRule>
    <cfRule type="containsText" dxfId="19" priority="17" operator="containsText" text="Done">
      <formula>NOT(ISERROR(SEARCH(("Done"),(B154))))</formula>
    </cfRule>
  </conditionalFormatting>
  <conditionalFormatting sqref="B197:B240">
    <cfRule type="containsText" dxfId="18" priority="8" operator="containsText" text="Unplanned">
      <formula>NOT(ISERROR(SEARCH(("Unplanned"),(B197))))</formula>
    </cfRule>
    <cfRule type="containsText" dxfId="17" priority="9" operator="containsText" text="Cancelled">
      <formula>NOT(ISERROR(SEARCH(("Cancelled"),(B197))))</formula>
    </cfRule>
  </conditionalFormatting>
  <conditionalFormatting sqref="B199:B239">
    <cfRule type="containsText" dxfId="16" priority="3" operator="containsText" text="Unplanned">
      <formula>NOT(ISERROR(SEARCH(("Unplanned"),(B199))))</formula>
    </cfRule>
    <cfRule type="containsText" dxfId="15" priority="4" operator="containsText" text="Planned">
      <formula>NOT(ISERROR(SEARCH(("Planned"),(B199))))</formula>
    </cfRule>
    <cfRule type="containsText" dxfId="14" priority="5" operator="containsText" text="In-Progress">
      <formula>NOT(ISERROR(SEARCH(("In-Progress"),(B199))))</formula>
    </cfRule>
    <cfRule type="containsText" dxfId="13" priority="6" operator="containsText" text="Blocked">
      <formula>NOT(ISERROR(SEARCH(("Blocked"),(B199))))</formula>
    </cfRule>
    <cfRule type="containsText" dxfId="12" priority="7" operator="containsText" text="Done">
      <formula>NOT(ISERROR(SEARCH(("Done"),(B199))))</formula>
    </cfRule>
  </conditionalFormatting>
  <conditionalFormatting sqref="G1 G3:G22 G26:G41 G45:G66 G70:G88 G92:G109 G113:G150 G154:G195">
    <cfRule type="cellIs" dxfId="11" priority="46" operator="greaterThan">
      <formula>4</formula>
    </cfRule>
  </conditionalFormatting>
  <conditionalFormatting sqref="G199:G240">
    <cfRule type="cellIs" dxfId="10" priority="12" operator="greaterThan">
      <formula>4</formula>
    </cfRule>
  </conditionalFormatting>
  <conditionalFormatting sqref="H1:H4 H7:H32 H36:H44 H46:H91 H93:H95 H97:H240">
    <cfRule type="containsBlanks" dxfId="9" priority="47">
      <formula>LEN(TRIM(H1))=0</formula>
    </cfRule>
  </conditionalFormatting>
  <conditionalFormatting sqref="H5:H6">
    <cfRule type="cellIs" dxfId="8" priority="30" operator="greaterThan">
      <formula>4</formula>
    </cfRule>
  </conditionalFormatting>
  <conditionalFormatting sqref="H33:H35">
    <cfRule type="cellIs" dxfId="7" priority="29" operator="greaterThan">
      <formula>4</formula>
    </cfRule>
  </conditionalFormatting>
  <conditionalFormatting sqref="H45">
    <cfRule type="cellIs" dxfId="6" priority="28" operator="greaterThan">
      <formula>4</formula>
    </cfRule>
  </conditionalFormatting>
  <conditionalFormatting sqref="H92">
    <cfRule type="cellIs" dxfId="5" priority="2" operator="greaterThan">
      <formula>4</formula>
    </cfRule>
  </conditionalFormatting>
  <conditionalFormatting sqref="H96">
    <cfRule type="cellIs" dxfId="4" priority="1" operator="greaterThan">
      <formula>4</formula>
    </cfRule>
  </conditionalFormatting>
  <conditionalFormatting sqref="I5:I22 I26:I41 I45:I66 I70:I88 I92:I109 I113:I150 I154:I195">
    <cfRule type="expression" dxfId="3" priority="44">
      <formula>H5/G5&gt;=1.5</formula>
    </cfRule>
    <cfRule type="expression" dxfId="2" priority="45">
      <formula>H5/G5&lt;=0.5</formula>
    </cfRule>
  </conditionalFormatting>
  <conditionalFormatting sqref="I199:I240">
    <cfRule type="expression" dxfId="1" priority="10">
      <formula>H199/G199&gt;=1.5</formula>
    </cfRule>
    <cfRule type="expression" dxfId="0" priority="11">
      <formula>H199/G199&lt;=0.5</formula>
    </cfRule>
  </conditionalFormatting>
  <dataValidations count="1">
    <dataValidation type="list" allowBlank="1" sqref="F70:F87 F113:F149 F5:F21 F45:F65 F199:F239 F26:F40 F154:F194 F92:F108" xr:uid="{0FAB3063-668E-4727-8636-10D0A6594410}">
      <formula1>"ILO 1.6, ILO 2.6, ILO 5.1, ILO 6.4, ILO 8.5, ILO 8.6"</formula1>
    </dataValidation>
  </dataValidations>
  <hyperlinks>
    <hyperlink ref="J10" r:id="rId1" xr:uid="{338167E6-7B0F-4DEB-BE9A-83BBFDE4AA41}"/>
    <hyperlink ref="J9" r:id="rId2" xr:uid="{0D930CB9-7189-4EC5-83D8-1C1C65571550}"/>
    <hyperlink ref="J17" r:id="rId3" xr:uid="{4DC2825B-87CF-459D-B3D8-25ECA4518806}"/>
    <hyperlink ref="J15" r:id="rId4" xr:uid="{ACEDFC9A-0FF0-4EB7-B8A2-A808AF51EC76}"/>
    <hyperlink ref="J19" r:id="rId5" xr:uid="{15F60698-F236-48CF-9817-60E03A44251E}"/>
    <hyperlink ref="J20" r:id="rId6" xr:uid="{CD0FD26D-BE25-4EED-8F52-70668670D423}"/>
    <hyperlink ref="J35" r:id="rId7" xr:uid="{336236C0-5774-457E-8C6B-B15D8D1E5C6F}"/>
    <hyperlink ref="J28" r:id="rId8" xr:uid="{AA05656E-B459-4B01-971B-EC7FC7984922}"/>
    <hyperlink ref="J32" r:id="rId9" xr:uid="{B430FD59-6FDC-4875-93EF-48D33E82DA61}"/>
    <hyperlink ref="J26" r:id="rId10" xr:uid="{8AB49E5F-4AC4-4FEC-94CA-96A569865976}"/>
    <hyperlink ref="J37" r:id="rId11" display="Task_3.iptnb" xr:uid="{F2DA1509-0B1D-42DB-9497-97B06E3E568F}"/>
    <hyperlink ref="J38" r:id="rId12" display="Task_3.iptnb" xr:uid="{915BB071-3566-4CBF-ACCE-7E4B3E38559B}"/>
    <hyperlink ref="J39" r:id="rId13" display="Task_3.iptnb" xr:uid="{A490CE55-F5CD-4318-AF46-C6E87D777D36}"/>
    <hyperlink ref="J46" r:id="rId14" xr:uid="{AF76E1FC-1905-44B7-B3EE-FDF67809CD8E}"/>
    <hyperlink ref="J40" r:id="rId15" xr:uid="{056D9ED6-A5A6-4485-B46B-BF76AA10B790}"/>
    <hyperlink ref="J47" r:id="rId16" xr:uid="{AEC2E4B9-7482-4D25-B53F-DD537CDB58C7}"/>
    <hyperlink ref="J52" r:id="rId17" xr:uid="{9ED4FF94-64AA-4149-8440-4EF759F271A2}"/>
    <hyperlink ref="J29" r:id="rId18" xr:uid="{46BF8FD4-D9E6-4CD2-AF70-00CAA4CEC688}"/>
    <hyperlink ref="J31" r:id="rId19" xr:uid="{5F697AE4-29B6-4A1E-A5DB-8385293C28F6}"/>
    <hyperlink ref="J48" r:id="rId20" xr:uid="{559E7354-8DE8-43C3-A6F7-BE9573E97185}"/>
    <hyperlink ref="J54" r:id="rId21" xr:uid="{B3D57704-1AB0-42D8-9E1C-359D13F851F5}"/>
    <hyperlink ref="J55" r:id="rId22" xr:uid="{A8ED38AB-6FDD-4AAD-8AE9-AC766644CCE1}"/>
    <hyperlink ref="J56" r:id="rId23" xr:uid="{EC2B53DD-F328-4568-B4E5-C580AE5D009A}"/>
    <hyperlink ref="J53" r:id="rId24" xr:uid="{94BFDE91-284C-4F8E-930F-C0FC78C55C94}"/>
    <hyperlink ref="J49" r:id="rId25" xr:uid="{66680BDA-C870-494B-B2F5-4DA549E4D369}"/>
    <hyperlink ref="J34" r:id="rId26" xr:uid="{9D1A3009-1C02-4C43-9CE5-6D2F48979553}"/>
    <hyperlink ref="J58" r:id="rId27" xr:uid="{18C5F7D9-5ECD-4D97-9662-8B9D7E8AC324}"/>
    <hyperlink ref="J61" r:id="rId28" xr:uid="{564310FE-E1B7-4B63-A10D-4A23FE6F2901}"/>
    <hyperlink ref="J62" r:id="rId29" xr:uid="{29E6B5E7-0702-42F9-BC70-53E1AB964403}"/>
    <hyperlink ref="J63" r:id="rId30" xr:uid="{D150DE60-0953-445D-8372-824388D8E34A}"/>
    <hyperlink ref="J64" r:id="rId31" xr:uid="{C93AEFCC-B21B-4D54-8866-F2536C5ED6A6}"/>
    <hyperlink ref="J65" r:id="rId32" xr:uid="{E2BBA728-0E76-44C1-8F0D-F2FF35EF01EF}"/>
    <hyperlink ref="J60" r:id="rId33" xr:uid="{1C1CF814-BAB2-4221-9427-BEA209794439}"/>
    <hyperlink ref="J72" r:id="rId34" xr:uid="{64E4A056-19FE-4102-AB9A-11D9E25867A3}"/>
    <hyperlink ref="J73" r:id="rId35" xr:uid="{CC60A773-6DCC-48F8-ABCB-3ABDEC663E25}"/>
    <hyperlink ref="J74" r:id="rId36" xr:uid="{1F8608E2-7E97-42EF-94E9-535E00B8F15A}"/>
    <hyperlink ref="J75" r:id="rId37" xr:uid="{FC2E3C33-1D47-4D88-BCFD-E39FF33A3B5D}"/>
    <hyperlink ref="J76" r:id="rId38" xr:uid="{7B388090-067C-441B-A991-FCC2A80E2A28}"/>
    <hyperlink ref="J77" r:id="rId39" xr:uid="{344089A5-D636-4023-9F56-864A769A55EF}"/>
    <hyperlink ref="J80" r:id="rId40" xr:uid="{EA85D743-944E-4D0B-BF13-B123EFBFD9B4}"/>
    <hyperlink ref="J81" r:id="rId41" xr:uid="{FE41D804-09A9-4B2C-9473-8CB0ED7CF85F}"/>
    <hyperlink ref="J82" r:id="rId42" xr:uid="{101D66A6-BF6E-4F53-896B-3B389DD591AD}"/>
    <hyperlink ref="J83" r:id="rId43" xr:uid="{1EEAF6D0-5854-4E7F-92BF-331DF3ADE6F8}"/>
    <hyperlink ref="J84" r:id="rId44" xr:uid="{927A39A1-5F14-4B3F-A3BD-7EB08CE97F00}"/>
    <hyperlink ref="J93" r:id="rId45" xr:uid="{84DF955A-4A1E-4BFB-B141-14952C636841}"/>
    <hyperlink ref="J102" r:id="rId46" xr:uid="{64888C7D-6B11-4463-9BA4-3BDA83C07270}"/>
    <hyperlink ref="J99" r:id="rId47" xr:uid="{77635250-B089-4A14-AACF-8AC3B7A3182E}"/>
    <hyperlink ref="J94" r:id="rId48" xr:uid="{AC1925E0-F9AC-483E-8027-7DB67F540E45}"/>
    <hyperlink ref="J106" r:id="rId49" xr:uid="{587BD925-A31A-4735-9839-E38E5F26A97C}"/>
    <hyperlink ref="J107" r:id="rId50" xr:uid="{C6299173-1512-4572-986F-718D4F5F0749}"/>
  </hyperlinks>
  <pageMargins left="0.7" right="0.7" top="0.75" bottom="0.75" header="0.3" footer="0.3"/>
  <pageSetup paperSize="9" scale="52" fitToHeight="0" orientation="landscape" horizontalDpi="1200" verticalDpi="1200" r:id="rId51"/>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E70:E87 E113:E149 E5:E21 E45:E65 E199:E239 E26:E40 E154:E194 E92:E108</xm:sqref>
        </x14:dataValidation>
        <x14:dataValidation type="list" allowBlank="1" xr:uid="{00000000-0002-0000-0000-000002000000}">
          <x14:formula1>
            <xm:f>'Drop-downs'!$A$2:$A$9</xm:f>
          </x14:formula1>
          <xm:sqref>B70:B87 B113:B149 B5:B21 B45:B65 B26:B40 B154:B194 B199:B239 B92:B108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4140625" defaultRowHeight="15" customHeight="1" x14ac:dyDescent="0.25"/>
  <cols>
    <col min="2" max="2" width="27" customWidth="1"/>
    <col min="11" max="11" width="20.44140625" customWidth="1"/>
  </cols>
  <sheetData>
    <row r="2" spans="2:11" ht="13.8" x14ac:dyDescent="0.3">
      <c r="B2" s="11" t="s">
        <v>24</v>
      </c>
      <c r="C2" s="2" t="s">
        <v>25</v>
      </c>
      <c r="D2" s="2" t="s">
        <v>26</v>
      </c>
      <c r="E2" s="2" t="s">
        <v>27</v>
      </c>
      <c r="F2" s="2" t="s">
        <v>28</v>
      </c>
      <c r="G2" s="2" t="s">
        <v>29</v>
      </c>
      <c r="H2" s="2" t="s">
        <v>30</v>
      </c>
      <c r="I2" s="2" t="s">
        <v>31</v>
      </c>
      <c r="J2" s="2" t="s">
        <v>32</v>
      </c>
      <c r="K2" s="3" t="s">
        <v>33</v>
      </c>
    </row>
    <row r="3" spans="2:11" ht="13.8" x14ac:dyDescent="0.3">
      <c r="B3" s="4" t="str">
        <f>'Drop-downs'!C2</f>
        <v>-</v>
      </c>
      <c r="C3" s="6"/>
      <c r="D3" s="6"/>
      <c r="E3" s="6"/>
      <c r="F3" s="6"/>
      <c r="G3" s="6"/>
      <c r="H3" s="6"/>
      <c r="I3" s="6"/>
      <c r="J3" s="6"/>
      <c r="K3" s="7">
        <f t="shared" ref="K3:K9" si="0">SUM(C3:J3)</f>
        <v>0</v>
      </c>
    </row>
    <row r="4" spans="2:11" ht="13.8" x14ac:dyDescent="0.3">
      <c r="B4" s="4" t="str">
        <f>'Drop-downs'!C3</f>
        <v>ILO 0.3</v>
      </c>
      <c r="C4" s="10" cm="1">
        <f t="array" ref="C4">IFERROR(SUM(_xlfn._xlws.FILTER('Worklog_Tasks&amp;Times'!$H$5:$H$21,'Worklog_Tasks&amp;Times'!$F$5:$F$21=$B4)),0)</f>
        <v>0</v>
      </c>
      <c r="D4" s="10" cm="1">
        <f t="array" ref="D4">IFERROR(SUM(_xlfn._xlws.FILTER('Worklog_Tasks&amp;Times'!$H$26:$H$39,'Worklog_Tasks&amp;Times'!$F$5:$F$21=$B4)),0)</f>
        <v>0</v>
      </c>
      <c r="E4" s="10" cm="1">
        <f t="array" ref="E4">IFERROR(SUM(_xlfn._xlws.FILTER('Worklog_Tasks&amp;Times'!$H$5:$H$21,'Worklog_Tasks&amp;Times'!$F$5:$F$21=$B4)),0)</f>
        <v>0</v>
      </c>
      <c r="F4" s="10" cm="1">
        <f t="array" ref="F4">IFERROR(SUM(_xlfn._xlws.FILTER('Worklog_Tasks&amp;Times'!$H$5:$H$21,'Worklog_Tasks&amp;Times'!$F$5:$F$21=$B4)),0)</f>
        <v>0</v>
      </c>
      <c r="G4" s="10" cm="1">
        <f t="array" ref="G4">IFERROR(SUM(_xlfn._xlws.FILTER('Worklog_Tasks&amp;Times'!$H$5:$H$21,'Worklog_Tasks&amp;Times'!$F$5:$F$21=$B4)),0)</f>
        <v>0</v>
      </c>
      <c r="H4" s="10" cm="1">
        <f t="array" ref="H4">IFERROR(SUM(_xlfn._xlws.FILTER('Worklog_Tasks&amp;Times'!$H$5:$H$21,'Worklog_Tasks&amp;Times'!$F$5:$F$21=$B4)),0)</f>
        <v>0</v>
      </c>
      <c r="I4" s="10" cm="1">
        <f t="array" ref="I4">IFERROR(SUM(_xlfn._xlws.FILTER('Worklog_Tasks&amp;Times'!$H$5:$H$21,'Worklog_Tasks&amp;Times'!$F$5:$F$21=$B4)),0)</f>
        <v>0</v>
      </c>
      <c r="J4" s="10" cm="1">
        <f t="array" ref="J4">IFERROR(SUM(_xlfn._xlws.FILTER('Worklog_Tasks&amp;Times'!$H$5:$H$21,'Worklog_Tasks&amp;Times'!$F$5:$F$21=$B4)),0)</f>
        <v>0</v>
      </c>
      <c r="K4" s="7">
        <f t="shared" si="0"/>
        <v>0</v>
      </c>
    </row>
    <row r="5" spans="2:11" ht="13.8" x14ac:dyDescent="0.3">
      <c r="B5" s="4" t="str">
        <f>'Drop-downs'!C4</f>
        <v>ILO 1.5</v>
      </c>
      <c r="C5" s="10" cm="1">
        <f t="array" ref="C5">IFERROR(SUM(_xlfn._xlws.FILTER('Worklog_Tasks&amp;Times'!$H$5:$H$21,'Worklog_Tasks&amp;Times'!$F$5:$F$21=$B5)),0)</f>
        <v>0</v>
      </c>
      <c r="D5" s="10" cm="1">
        <f t="array" ref="D5">IFERROR(SUM(_xlfn._xlws.FILTER('Worklog_Tasks&amp;Times'!$H$5:$H$21,'Worklog_Tasks&amp;Times'!$F$5:$F$21=$B5)),0)</f>
        <v>0</v>
      </c>
      <c r="E5" s="10" cm="1">
        <f t="array" ref="E5">IFERROR(SUM(_xlfn._xlws.FILTER('Worklog_Tasks&amp;Times'!$H$5:$H$21,'Worklog_Tasks&amp;Times'!$F$5:$F$21=$B5)),0)</f>
        <v>0</v>
      </c>
      <c r="F5" s="10" cm="1">
        <f t="array" ref="F5">IFERROR(SUM(_xlfn._xlws.FILTER('Worklog_Tasks&amp;Times'!$H$5:$H$21,'Worklog_Tasks&amp;Times'!$F$5:$F$21=$B5)),0)</f>
        <v>0</v>
      </c>
      <c r="G5" s="10" cm="1">
        <f t="array" ref="G5">IFERROR(SUM(_xlfn._xlws.FILTER('Worklog_Tasks&amp;Times'!$H$5:$H$21,'Worklog_Tasks&amp;Times'!$F$5:$F$21=$B5)),0)</f>
        <v>0</v>
      </c>
      <c r="H5" s="10" cm="1">
        <f t="array" ref="H5">IFERROR(SUM(_xlfn._xlws.FILTER('Worklog_Tasks&amp;Times'!$H$5:$H$21,'Worklog_Tasks&amp;Times'!$F$5:$F$21=$B5)),0)</f>
        <v>0</v>
      </c>
      <c r="I5" s="10" cm="1">
        <f t="array" ref="I5">IFERROR(SUM(_xlfn._xlws.FILTER('Worklog_Tasks&amp;Times'!$H$5:$H$21,'Worklog_Tasks&amp;Times'!$F$5:$F$21=$B5)),0)</f>
        <v>0</v>
      </c>
      <c r="J5" s="10" cm="1">
        <f t="array" ref="J5">IFERROR(SUM(_xlfn._xlws.FILTER('Worklog_Tasks&amp;Times'!$H$5:$H$21,'Worklog_Tasks&amp;Times'!$F$5:$F$21=$B5)),0)</f>
        <v>0</v>
      </c>
      <c r="K5" s="7">
        <f t="shared" si="0"/>
        <v>0</v>
      </c>
    </row>
    <row r="6" spans="2:11" ht="13.8" x14ac:dyDescent="0.3">
      <c r="B6" s="4" t="str">
        <f>'Drop-downs'!C5</f>
        <v>ILO 2.5</v>
      </c>
      <c r="C6" s="10" cm="1">
        <f t="array" ref="C6">IFERROR(SUM(_xlfn._xlws.FILTER('Worklog_Tasks&amp;Times'!$H$5:$H$21,'Worklog_Tasks&amp;Times'!$F$5:$F$21=$B6)),0)</f>
        <v>0</v>
      </c>
      <c r="D6" s="10" cm="1">
        <f t="array" ref="D6">IFERROR(SUM(_xlfn._xlws.FILTER('Worklog_Tasks&amp;Times'!$H$5:$H$21,'Worklog_Tasks&amp;Times'!$F$5:$F$21=$B6)),0)</f>
        <v>0</v>
      </c>
      <c r="E6" s="10" cm="1">
        <f t="array" ref="E6">IFERROR(SUM(_xlfn._xlws.FILTER('Worklog_Tasks&amp;Times'!$H$5:$H$21,'Worklog_Tasks&amp;Times'!$F$5:$F$21=$B6)),0)</f>
        <v>0</v>
      </c>
      <c r="F6" s="10" cm="1">
        <f t="array" ref="F6">IFERROR(SUM(_xlfn._xlws.FILTER('Worklog_Tasks&amp;Times'!$H$5:$H$21,'Worklog_Tasks&amp;Times'!$F$5:$F$21=$B6)),0)</f>
        <v>0</v>
      </c>
      <c r="G6" s="10" cm="1">
        <f t="array" ref="G6">IFERROR(SUM(_xlfn._xlws.FILTER('Worklog_Tasks&amp;Times'!$H$5:$H$21,'Worklog_Tasks&amp;Times'!$F$5:$F$21=$B6)),0)</f>
        <v>0</v>
      </c>
      <c r="H6" s="10" cm="1">
        <f t="array" ref="H6">IFERROR(SUM(_xlfn._xlws.FILTER('Worklog_Tasks&amp;Times'!$H$5:$H$21,'Worklog_Tasks&amp;Times'!$F$5:$F$21=$B6)),0)</f>
        <v>0</v>
      </c>
      <c r="I6" s="10" cm="1">
        <f t="array" ref="I6">IFERROR(SUM(_xlfn._xlws.FILTER('Worklog_Tasks&amp;Times'!$H$5:$H$21,'Worklog_Tasks&amp;Times'!$F$5:$F$21=$B6)),0)</f>
        <v>0</v>
      </c>
      <c r="J6" s="10" cm="1">
        <f t="array" ref="J6">IFERROR(SUM(_xlfn._xlws.FILTER('Worklog_Tasks&amp;Times'!$H$5:$H$21,'Worklog_Tasks&amp;Times'!$F$5:$F$21=$B6)),0)</f>
        <v>0</v>
      </c>
      <c r="K6" s="7">
        <f t="shared" si="0"/>
        <v>0</v>
      </c>
    </row>
    <row r="7" spans="2:11" ht="13.8" x14ac:dyDescent="0.3">
      <c r="B7" s="4" t="str">
        <f>'Drop-downs'!C6</f>
        <v>ILO 3.5</v>
      </c>
      <c r="C7" s="10" cm="1">
        <f t="array" ref="C7">IFERROR(SUM(_xlfn._xlws.FILTER('Worklog_Tasks&amp;Times'!$H$5:$H$21,'Worklog_Tasks&amp;Times'!$F$5:$F$21=$B7)),0)</f>
        <v>0</v>
      </c>
      <c r="D7" s="10" cm="1">
        <f t="array" ref="D7">IFERROR(SUM(_xlfn._xlws.FILTER('Worklog_Tasks&amp;Times'!$H$5:$H$21,'Worklog_Tasks&amp;Times'!$F$5:$F$21=$B7)),0)</f>
        <v>0</v>
      </c>
      <c r="E7" s="10" cm="1">
        <f t="array" ref="E7">IFERROR(SUM(_xlfn._xlws.FILTER('Worklog_Tasks&amp;Times'!$H$5:$H$21,'Worklog_Tasks&amp;Times'!$F$5:$F$21=$B7)),0)</f>
        <v>0</v>
      </c>
      <c r="F7" s="10" cm="1">
        <f t="array" ref="F7">IFERROR(SUM(_xlfn._xlws.FILTER('Worklog_Tasks&amp;Times'!$H$5:$H$21,'Worklog_Tasks&amp;Times'!$F$5:$F$21=$B7)),0)</f>
        <v>0</v>
      </c>
      <c r="G7" s="10" cm="1">
        <f t="array" ref="G7">IFERROR(SUM(_xlfn._xlws.FILTER('Worklog_Tasks&amp;Times'!$H$5:$H$21,'Worklog_Tasks&amp;Times'!$F$5:$F$21=$B7)),0)</f>
        <v>0</v>
      </c>
      <c r="H7" s="10" cm="1">
        <f t="array" ref="H7">IFERROR(SUM(_xlfn._xlws.FILTER('Worklog_Tasks&amp;Times'!$H$5:$H$21,'Worklog_Tasks&amp;Times'!$F$5:$F$21=$B7)),0)</f>
        <v>0</v>
      </c>
      <c r="I7" s="10" cm="1">
        <f t="array" ref="I7">IFERROR(SUM(_xlfn._xlws.FILTER('Worklog_Tasks&amp;Times'!$H$5:$H$21,'Worklog_Tasks&amp;Times'!$F$5:$F$21=$B7)),0)</f>
        <v>0</v>
      </c>
      <c r="J7" s="10" cm="1">
        <f t="array" ref="J7">IFERROR(SUM(_xlfn._xlws.FILTER('Worklog_Tasks&amp;Times'!$H$5:$H$21,'Worklog_Tasks&amp;Times'!$F$5:$F$21=$B7)),0)</f>
        <v>0</v>
      </c>
      <c r="K7" s="7">
        <f t="shared" si="0"/>
        <v>0</v>
      </c>
    </row>
    <row r="8" spans="2:11" ht="13.8" x14ac:dyDescent="0.3">
      <c r="B8" s="4" t="str">
        <f>'Drop-downs'!C7</f>
        <v>ILO 4.4</v>
      </c>
      <c r="C8" s="10" cm="1">
        <f t="array" ref="C8">IFERROR(SUM(_xlfn._xlws.FILTER('Worklog_Tasks&amp;Times'!$H$5:$H$21,'Worklog_Tasks&amp;Times'!$F$5:$F$21=$B8)),0)</f>
        <v>0</v>
      </c>
      <c r="D8" s="10" cm="1">
        <f t="array" ref="D8">IFERROR(SUM(_xlfn._xlws.FILTER('Worklog_Tasks&amp;Times'!$H$5:$H$21,'Worklog_Tasks&amp;Times'!$F$5:$F$21=$B8)),0)</f>
        <v>0</v>
      </c>
      <c r="E8" s="10" cm="1">
        <f t="array" ref="E8">IFERROR(SUM(_xlfn._xlws.FILTER('Worklog_Tasks&amp;Times'!$H$5:$H$21,'Worklog_Tasks&amp;Times'!$F$5:$F$21=$B8)),0)</f>
        <v>0</v>
      </c>
      <c r="F8" s="10" cm="1">
        <f t="array" ref="F8">IFERROR(SUM(_xlfn._xlws.FILTER('Worklog_Tasks&amp;Times'!$H$5:$H$21,'Worklog_Tasks&amp;Times'!$F$5:$F$21=$B8)),0)</f>
        <v>0</v>
      </c>
      <c r="G8" s="10" cm="1">
        <f t="array" ref="G8">IFERROR(SUM(_xlfn._xlws.FILTER('Worklog_Tasks&amp;Times'!$H$5:$H$21,'Worklog_Tasks&amp;Times'!$F$5:$F$21=$B8)),0)</f>
        <v>0</v>
      </c>
      <c r="H8" s="10" cm="1">
        <f t="array" ref="H8">IFERROR(SUM(_xlfn._xlws.FILTER('Worklog_Tasks&amp;Times'!$H$5:$H$21,'Worklog_Tasks&amp;Times'!$F$5:$F$21=$B8)),0)</f>
        <v>0</v>
      </c>
      <c r="I8" s="10" cm="1">
        <f t="array" ref="I8">IFERROR(SUM(_xlfn._xlws.FILTER('Worklog_Tasks&amp;Times'!$H$5:$H$21,'Worklog_Tasks&amp;Times'!$F$5:$F$21=$B8)),0)</f>
        <v>0</v>
      </c>
      <c r="J8" s="10" cm="1">
        <f t="array" ref="J8">IFERROR(SUM(_xlfn._xlws.FILTER('Worklog_Tasks&amp;Times'!$H$5:$H$21,'Worklog_Tasks&amp;Times'!$F$5:$F$21=$B8)),0)</f>
        <v>0</v>
      </c>
      <c r="K8" s="7">
        <f t="shared" ref="K8" si="1">SUM(C8:J8)</f>
        <v>0</v>
      </c>
    </row>
    <row r="9" spans="2:11" ht="13.8" x14ac:dyDescent="0.3">
      <c r="B9" s="4" t="str">
        <f>'Drop-downs'!C8</f>
        <v>ILO 7.3</v>
      </c>
      <c r="C9" s="10" cm="1">
        <f t="array" ref="C9">IFERROR(SUM(_xlfn._xlws.FILTER('Worklog_Tasks&amp;Times'!$H$5:$H$21,'Worklog_Tasks&amp;Times'!$F$5:$F$21=$B9)),0)</f>
        <v>0</v>
      </c>
      <c r="D9" s="10" cm="1">
        <f t="array" ref="D9">IFERROR(SUM(_xlfn._xlws.FILTER('Worklog_Tasks&amp;Times'!$H$5:$H$21,'Worklog_Tasks&amp;Times'!$F$5:$F$21=$B9)),0)</f>
        <v>0</v>
      </c>
      <c r="E9" s="10" cm="1">
        <f t="array" ref="E9">IFERROR(SUM(_xlfn._xlws.FILTER('Worklog_Tasks&amp;Times'!$H$5:$H$21,'Worklog_Tasks&amp;Times'!$F$5:$F$21=$B9)),0)</f>
        <v>0</v>
      </c>
      <c r="F9" s="10" cm="1">
        <f t="array" ref="F9">IFERROR(SUM(_xlfn._xlws.FILTER('Worklog_Tasks&amp;Times'!$H$5:$H$21,'Worklog_Tasks&amp;Times'!$F$5:$F$21=$B9)),0)</f>
        <v>0</v>
      </c>
      <c r="G9" s="10" cm="1">
        <f t="array" ref="G9">IFERROR(SUM(_xlfn._xlws.FILTER('Worklog_Tasks&amp;Times'!$H$5:$H$21,'Worklog_Tasks&amp;Times'!$F$5:$F$21=$B9)),0)</f>
        <v>0</v>
      </c>
      <c r="H9" s="10" cm="1">
        <f t="array" ref="H9">IFERROR(SUM(_xlfn._xlws.FILTER('Worklog_Tasks&amp;Times'!$H$5:$H$21,'Worklog_Tasks&amp;Times'!$F$5:$F$21=$B9)),0)</f>
        <v>0</v>
      </c>
      <c r="I9" s="10" cm="1">
        <f t="array" ref="I9">IFERROR(SUM(_xlfn._xlws.FILTER('Worklog_Tasks&amp;Times'!$H$5:$H$21,'Worklog_Tasks&amp;Times'!$F$5:$F$21=$B9)),0)</f>
        <v>0</v>
      </c>
      <c r="J9" s="10" cm="1">
        <f t="array" ref="J9">IFERROR(SUM(_xlfn._xlws.FILTER('Worklog_Tasks&amp;Times'!$H$5:$H$21,'Worklog_Tasks&amp;Times'!$F$5:$F$21=$B9)),0)</f>
        <v>0</v>
      </c>
      <c r="K9" s="7">
        <f t="shared" si="0"/>
        <v>0</v>
      </c>
    </row>
    <row r="10" spans="2:11" ht="13.8" x14ac:dyDescent="0.3">
      <c r="B10" s="4" t="str">
        <f>'Drop-downs'!C9</f>
        <v>ILO 11.2</v>
      </c>
      <c r="C10" s="10" cm="1">
        <f t="array" ref="C10">IFERROR(SUM(_xlfn._xlws.FILTER('Worklog_Tasks&amp;Times'!$H$5:$H$21,'Worklog_Tasks&amp;Times'!$F$5:$F$21=$B10)),0)</f>
        <v>0</v>
      </c>
      <c r="D10" s="10" cm="1">
        <f t="array" ref="D10">IFERROR(SUM(_xlfn._xlws.FILTER('Worklog_Tasks&amp;Times'!$H$5:$H$21,'Worklog_Tasks&amp;Times'!$F$5:$F$21=$B10)),0)</f>
        <v>0</v>
      </c>
      <c r="E10" s="10" cm="1">
        <f t="array" ref="E10">IFERROR(SUM(_xlfn._xlws.FILTER('Worklog_Tasks&amp;Times'!$H$5:$H$21,'Worklog_Tasks&amp;Times'!$F$5:$F$21=$B10)),0)</f>
        <v>0</v>
      </c>
      <c r="F10" s="10" cm="1">
        <f t="array" ref="F10">IFERROR(SUM(_xlfn._xlws.FILTER('Worklog_Tasks&amp;Times'!$H$5:$H$21,'Worklog_Tasks&amp;Times'!$F$5:$F$21=$B10)),0)</f>
        <v>0</v>
      </c>
      <c r="G10" s="10" cm="1">
        <f t="array" ref="G10">IFERROR(SUM(_xlfn._xlws.FILTER('Worklog_Tasks&amp;Times'!$H$5:$H$21,'Worklog_Tasks&amp;Times'!$F$5:$F$21=$B10)),0)</f>
        <v>0</v>
      </c>
      <c r="H10" s="10" cm="1">
        <f t="array" ref="H10">IFERROR(SUM(_xlfn._xlws.FILTER('Worklog_Tasks&amp;Times'!$H$5:$H$21,'Worklog_Tasks&amp;Times'!$F$5:$F$21=$B10)),0)</f>
        <v>0</v>
      </c>
      <c r="I10" s="10" cm="1">
        <f t="array" ref="I10">IFERROR(SUM(_xlfn._xlws.FILTER('Worklog_Tasks&amp;Times'!$H$5:$H$21,'Worklog_Tasks&amp;Times'!$F$5:$F$21=$B10)),0)</f>
        <v>0</v>
      </c>
      <c r="J10" s="10" cm="1">
        <f t="array" ref="J10">IFERROR(SUM(_xlfn._xlws.FILTER('Worklog_Tasks&amp;Times'!$H$5:$H$21,'Worklog_Tasks&amp;Times'!$F$5:$F$21=$B10)),0)</f>
        <v>0</v>
      </c>
      <c r="K10" s="7">
        <f t="shared" ref="K10" si="2">SUM(C10:J10)</f>
        <v>0</v>
      </c>
    </row>
    <row r="11" spans="2:11" ht="13.8" x14ac:dyDescent="0.3">
      <c r="B11" s="4">
        <f>'Drop-downs'!C10</f>
        <v>0</v>
      </c>
      <c r="C11" s="10"/>
      <c r="D11" s="10"/>
      <c r="E11" s="10"/>
      <c r="F11" s="10"/>
      <c r="G11" s="10"/>
      <c r="H11" s="10"/>
      <c r="I11" s="10"/>
      <c r="J11" s="10"/>
      <c r="K11" s="7">
        <f t="shared" ref="K11" si="3">SUM(C11:J11)</f>
        <v>0</v>
      </c>
    </row>
    <row r="12" spans="2:11" ht="13.8" x14ac:dyDescent="0.3">
      <c r="B12" s="11" t="s">
        <v>34</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8" x14ac:dyDescent="0.3">
      <c r="B13" s="16"/>
      <c r="C13" s="17"/>
      <c r="D13" s="17"/>
      <c r="E13" s="17"/>
      <c r="F13" s="17"/>
      <c r="G13" s="17"/>
      <c r="H13" s="17"/>
      <c r="I13" s="17"/>
      <c r="J13" s="17"/>
      <c r="K13" s="17"/>
    </row>
    <row r="14" spans="2:11" ht="15" customHeight="1" x14ac:dyDescent="0.25">
      <c r="B14" s="82" t="s">
        <v>35</v>
      </c>
      <c r="C14" s="83"/>
      <c r="D14" s="83"/>
      <c r="E14" s="83"/>
      <c r="F14" s="83"/>
      <c r="G14" s="83"/>
      <c r="H14" s="83"/>
      <c r="I14" s="83"/>
      <c r="J14" s="83"/>
      <c r="K14" s="83"/>
    </row>
    <row r="18" spans="2:6" ht="15" customHeight="1" x14ac:dyDescent="0.25">
      <c r="B18" s="9"/>
    </row>
    <row r="19" spans="2:6" ht="15" customHeight="1" x14ac:dyDescent="0.25">
      <c r="B19" s="84" t="s">
        <v>36</v>
      </c>
      <c r="C19" s="84"/>
      <c r="D19" s="84"/>
      <c r="E19" s="84"/>
      <c r="F19" s="84"/>
    </row>
    <row r="20" spans="2:6" ht="15" customHeight="1" x14ac:dyDescent="0.25">
      <c r="B20" s="84"/>
      <c r="C20" s="84"/>
      <c r="D20" s="84"/>
      <c r="E20" s="84"/>
      <c r="F20" s="84"/>
    </row>
    <row r="21" spans="2:6" ht="15" customHeight="1" x14ac:dyDescent="0.25">
      <c r="B21" s="84"/>
      <c r="C21" s="84"/>
      <c r="D21" s="84"/>
      <c r="E21" s="84"/>
      <c r="F21" s="84"/>
    </row>
    <row r="22" spans="2:6" ht="15" customHeight="1" x14ac:dyDescent="0.25">
      <c r="B22" s="84"/>
      <c r="C22" s="84"/>
      <c r="D22" s="84"/>
      <c r="E22" s="84"/>
      <c r="F22" s="84"/>
    </row>
    <row r="23" spans="2:6" ht="15" customHeight="1" x14ac:dyDescent="0.25">
      <c r="B23" s="84"/>
      <c r="C23" s="84"/>
      <c r="D23" s="84"/>
      <c r="E23" s="84"/>
      <c r="F23" s="84"/>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4140625" defaultRowHeight="15" customHeight="1" x14ac:dyDescent="0.25"/>
  <cols>
    <col min="1" max="6" width="14.44140625" customWidth="1"/>
  </cols>
  <sheetData>
    <row r="1" spans="1:3" ht="15.75" customHeight="1" x14ac:dyDescent="0.25">
      <c r="A1" s="1" t="s">
        <v>37</v>
      </c>
      <c r="B1" s="1" t="s">
        <v>4</v>
      </c>
      <c r="C1" s="1" t="s">
        <v>38</v>
      </c>
    </row>
    <row r="2" spans="1:3" ht="15.75" customHeight="1" x14ac:dyDescent="0.25">
      <c r="A2" t="s">
        <v>39</v>
      </c>
      <c r="B2" t="s">
        <v>39</v>
      </c>
      <c r="C2" s="9" t="s">
        <v>39</v>
      </c>
    </row>
    <row r="3" spans="1:3" ht="15.75" customHeight="1" x14ac:dyDescent="0.25">
      <c r="A3" t="s">
        <v>40</v>
      </c>
      <c r="B3" t="s">
        <v>41</v>
      </c>
      <c r="C3" s="9" t="s">
        <v>42</v>
      </c>
    </row>
    <row r="4" spans="1:3" ht="15.75" customHeight="1" x14ac:dyDescent="0.25">
      <c r="A4" t="s">
        <v>43</v>
      </c>
      <c r="B4" t="s">
        <v>44</v>
      </c>
      <c r="C4" s="9" t="s">
        <v>45</v>
      </c>
    </row>
    <row r="5" spans="1:3" ht="15.75" customHeight="1" x14ac:dyDescent="0.25">
      <c r="A5" t="s">
        <v>46</v>
      </c>
      <c r="B5" t="s">
        <v>47</v>
      </c>
      <c r="C5" s="9" t="s">
        <v>48</v>
      </c>
    </row>
    <row r="6" spans="1:3" ht="15.75" customHeight="1" x14ac:dyDescent="0.25">
      <c r="A6" t="s">
        <v>49</v>
      </c>
      <c r="B6" t="s">
        <v>50</v>
      </c>
      <c r="C6" s="9" t="s">
        <v>51</v>
      </c>
    </row>
    <row r="7" spans="1:3" ht="15.75" customHeight="1" x14ac:dyDescent="0.25">
      <c r="A7" t="s">
        <v>52</v>
      </c>
      <c r="B7" t="s">
        <v>53</v>
      </c>
      <c r="C7" s="9" t="s">
        <v>54</v>
      </c>
    </row>
    <row r="8" spans="1:3" ht="15.75" customHeight="1" x14ac:dyDescent="0.25">
      <c r="A8" t="s">
        <v>55</v>
      </c>
      <c r="B8" t="s">
        <v>56</v>
      </c>
      <c r="C8" s="9" t="s">
        <v>57</v>
      </c>
    </row>
    <row r="9" spans="1:3" ht="15.75" customHeight="1" x14ac:dyDescent="0.25">
      <c r="A9" t="s">
        <v>58</v>
      </c>
      <c r="B9" s="9" t="s">
        <v>59</v>
      </c>
      <c r="C9" s="9" t="s">
        <v>60</v>
      </c>
    </row>
    <row r="10" spans="1:3" ht="15.75" customHeight="1" x14ac:dyDescent="0.25">
      <c r="B10" s="9" t="s">
        <v>61</v>
      </c>
      <c r="C10" s="9"/>
    </row>
    <row r="11" spans="1:3" ht="15.75" customHeight="1" x14ac:dyDescent="0.25">
      <c r="B11" s="9" t="s">
        <v>62</v>
      </c>
    </row>
    <row r="12" spans="1:3" ht="15.75" customHeight="1" x14ac:dyDescent="0.25">
      <c r="B12" s="9" t="s">
        <v>63</v>
      </c>
    </row>
    <row r="13" spans="1:3" ht="15.75" customHeight="1" x14ac:dyDescent="0.25">
      <c r="B13" s="9" t="s">
        <v>64</v>
      </c>
    </row>
    <row r="14" spans="1:3" ht="15.75" customHeight="1" x14ac:dyDescent="0.25">
      <c r="B14" s="9" t="s">
        <v>43</v>
      </c>
    </row>
    <row r="15" spans="1:3" ht="15.75" customHeight="1" x14ac:dyDescent="0.25">
      <c r="B15" s="9" t="s">
        <v>65</v>
      </c>
    </row>
    <row r="16" spans="1:3" ht="15.75" customHeight="1" x14ac:dyDescent="0.25">
      <c r="B16" s="9" t="s">
        <v>66</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customXml/itemProps2.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7A64A65-7DA4-4AE1-9847-B817073E470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Czerniak, Maciej Czerniak (243552)</cp:lastModifiedBy>
  <cp:revision/>
  <dcterms:created xsi:type="dcterms:W3CDTF">2020-05-11T09:26:10Z</dcterms:created>
  <dcterms:modified xsi:type="dcterms:W3CDTF">2025-12-15T11:35:39Z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