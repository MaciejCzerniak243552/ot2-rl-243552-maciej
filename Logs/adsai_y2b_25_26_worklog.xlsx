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25FFB7C9-9D4B-403D-858D-5FA8E3451685}"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'Worklog_Tasks&amp;Times'!$A$1:$K$164</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1" l="1"/>
  <c r="I54" i="1"/>
  <c r="I53" i="1"/>
  <c r="I52" i="1"/>
  <c r="I51" i="1"/>
  <c r="I50" i="1"/>
  <c r="I49" i="1"/>
  <c r="I48" i="1"/>
  <c r="I47" i="1"/>
  <c r="I46" i="1"/>
  <c r="I45" i="1"/>
  <c r="I44" i="1"/>
  <c r="I43" i="1"/>
  <c r="I42" i="1"/>
  <c r="I21" i="1"/>
  <c r="I15" i="1"/>
  <c r="I16" i="1"/>
  <c r="I17" i="1"/>
  <c r="I18" i="1"/>
  <c r="I19" i="1"/>
  <c r="I20" i="1"/>
  <c r="I8" i="1"/>
  <c r="I184" i="1"/>
  <c r="I183" i="1"/>
  <c r="I182" i="1"/>
  <c r="I181" i="1"/>
  <c r="I180" i="1"/>
  <c r="I179" i="1"/>
  <c r="I178" i="1"/>
  <c r="I177" i="1"/>
  <c r="I162" i="1"/>
  <c r="I161" i="1"/>
  <c r="I160" i="1"/>
  <c r="I159" i="1"/>
  <c r="I158" i="1"/>
  <c r="I157" i="1"/>
  <c r="I156" i="1"/>
  <c r="I141" i="1"/>
  <c r="I140" i="1"/>
  <c r="I139" i="1"/>
  <c r="I138" i="1"/>
  <c r="I137" i="1"/>
  <c r="I136" i="1"/>
  <c r="I135" i="1"/>
  <c r="I134" i="1"/>
  <c r="I119" i="1"/>
  <c r="I118" i="1"/>
  <c r="I117" i="1"/>
  <c r="I116" i="1"/>
  <c r="I115" i="1"/>
  <c r="I114" i="1"/>
  <c r="I113" i="1"/>
  <c r="I112" i="1"/>
  <c r="I97" i="1"/>
  <c r="I96" i="1"/>
  <c r="I95" i="1"/>
  <c r="I94" i="1"/>
  <c r="I93" i="1"/>
  <c r="I92" i="1"/>
  <c r="I91" i="1"/>
  <c r="I77" i="1"/>
  <c r="I76" i="1"/>
  <c r="I75" i="1"/>
  <c r="I74" i="1"/>
  <c r="I73" i="1"/>
  <c r="I72" i="1"/>
  <c r="I71" i="1"/>
  <c r="I70" i="1"/>
  <c r="I69" i="1"/>
  <c r="I40"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7" i="1"/>
  <c r="G187" i="1"/>
  <c r="I186" i="1"/>
  <c r="I185" i="1"/>
  <c r="I176" i="1"/>
  <c r="I175" i="1"/>
  <c r="I174" i="1"/>
  <c r="I173" i="1"/>
  <c r="I172" i="1"/>
  <c r="I171" i="1"/>
  <c r="I170" i="1"/>
  <c r="I169" i="1"/>
  <c r="H165" i="1"/>
  <c r="G165" i="1"/>
  <c r="B9" i="2"/>
  <c r="B8" i="2"/>
  <c r="B11" i="2"/>
  <c r="B10" i="2"/>
  <c r="K11" i="2"/>
  <c r="I187" i="1" l="1"/>
  <c r="K8" i="2"/>
  <c r="K10" i="2"/>
  <c r="E12" i="2"/>
  <c r="D12" i="2"/>
  <c r="I165" i="1"/>
  <c r="J12" i="2"/>
  <c r="I12" i="2"/>
  <c r="H12" i="2"/>
  <c r="G12" i="2"/>
  <c r="F12" i="2"/>
  <c r="K9" i="2"/>
  <c r="K7" i="2"/>
  <c r="B7" i="2"/>
  <c r="K6" i="2"/>
  <c r="B6" i="2"/>
  <c r="K5" i="2"/>
  <c r="B5" i="2"/>
  <c r="C12" i="2"/>
  <c r="B4" i="2"/>
  <c r="K3" i="2"/>
  <c r="B3" i="2"/>
  <c r="I164" i="1"/>
  <c r="I163" i="1"/>
  <c r="I155" i="1"/>
  <c r="I154" i="1"/>
  <c r="I153" i="1"/>
  <c r="I152" i="1"/>
  <c r="I151" i="1"/>
  <c r="I150" i="1"/>
  <c r="I149" i="1"/>
  <c r="I148" i="1"/>
  <c r="H144" i="1"/>
  <c r="G144" i="1"/>
  <c r="I143" i="1"/>
  <c r="I142" i="1"/>
  <c r="I133" i="1"/>
  <c r="I132" i="1"/>
  <c r="I131" i="1"/>
  <c r="I130" i="1"/>
  <c r="I129" i="1"/>
  <c r="I128" i="1"/>
  <c r="I127" i="1"/>
  <c r="I126" i="1"/>
  <c r="H122" i="1"/>
  <c r="G122" i="1"/>
  <c r="I121" i="1"/>
  <c r="I120" i="1"/>
  <c r="I111" i="1"/>
  <c r="I110" i="1"/>
  <c r="I109" i="1"/>
  <c r="I108" i="1"/>
  <c r="I107" i="1"/>
  <c r="I106" i="1"/>
  <c r="I105" i="1"/>
  <c r="I104" i="1"/>
  <c r="H100" i="1"/>
  <c r="G100" i="1"/>
  <c r="I99" i="1"/>
  <c r="I98" i="1"/>
  <c r="I90" i="1"/>
  <c r="I89" i="1"/>
  <c r="I88" i="1"/>
  <c r="I87" i="1"/>
  <c r="I86" i="1"/>
  <c r="I85" i="1"/>
  <c r="I84" i="1"/>
  <c r="I83" i="1"/>
  <c r="H79" i="1"/>
  <c r="G79" i="1"/>
  <c r="I78" i="1"/>
  <c r="I68" i="1"/>
  <c r="I67" i="1"/>
  <c r="I66" i="1"/>
  <c r="I65" i="1"/>
  <c r="I64" i="1"/>
  <c r="I63" i="1"/>
  <c r="I62" i="1"/>
  <c r="I61" i="1"/>
  <c r="I60" i="1"/>
  <c r="H56" i="1"/>
  <c r="G56" i="1"/>
  <c r="I55" i="1"/>
  <c r="I41" i="1"/>
  <c r="I33" i="1"/>
  <c r="I32" i="1"/>
  <c r="I31" i="1"/>
  <c r="I30" i="1"/>
  <c r="I28" i="1"/>
  <c r="I27" i="1"/>
  <c r="I26" i="1"/>
  <c r="H22" i="1"/>
  <c r="G22" i="1"/>
  <c r="I11" i="1"/>
  <c r="I10" i="1"/>
  <c r="I9" i="1"/>
  <c r="I7" i="1"/>
  <c r="I6" i="1"/>
  <c r="I5" i="1"/>
  <c r="I122" i="1" l="1"/>
  <c r="I22" i="1"/>
  <c r="K4" i="2"/>
  <c r="I56" i="1"/>
  <c r="I79" i="1"/>
  <c r="I100" i="1"/>
  <c r="I14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<sst xmlns="http://schemas.openxmlformats.org/spreadsheetml/2006/main" count="394" uniqueCount="117">
  <si>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</si>
  <si>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</si>
  <si>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</si>
  <si>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</si>
  <si>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</si>
  <si>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</si>
  <si>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</si>
  <si>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</si>
  <si>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</si>
  <si>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</si>
  <si>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</si>
  <si>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</si>
  <si>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</si>
  <si>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</si>
  <si>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</si>
  <si>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</si>
  <si>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</si>
  <si>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</si>
  <si>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</si>
  <si>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</si>
  <si>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</si>
  <si>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</si>
  <si>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</si>
  <si>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</si>
  <si>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</si>
  <si>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</si>
  <si>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</si>
  <si>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</si>
  <si>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</si>
  <si>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</si>
  <si>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</si>
  <si>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</si>
  <si>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</si>
  <si>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</si>
  <si>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</si>
  <si>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</si>
  <si>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</si>
  <si>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</si>
  <si>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</si>
  <si>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</si>
  <si>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</si>
  <si>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</si>
  <si>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</si>
  <si>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</si>
  <si>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</si>
  <si>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</si>
  <si>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</si>
  <si>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</si>
  <si>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</si>
  <si>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</si>
  <si>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</si>
  <si>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</si>
  <si>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</si>
  <si>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</si>
  <si>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</si>
  <si>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</si>
  <si>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</si>
  <si>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</si>
  <si>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</si>
  <si>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</si>
  <si>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</si>
  <si>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</si>
  <si>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</si>
  <si>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</si>
  <si>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</si>
  <si>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</si>
  <si>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</si>
  <si>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</si>
  <si>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</si>
  <si>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</si>
  <si>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</si>
  <si>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</si>
  <si>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</si>
  <si>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</si>
  <si>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</si>
  <si>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</si>
  <si>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</si>
  <si>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</si>
  <si>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</si>
  <si>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</si>
  <si>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</si>
  <si>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</si>
  <si>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</si>
  <si>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</si>
  <si>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</si>
  <si>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</si>
  <si>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</si>
  <si>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</si>
  <si>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</si>
  <si>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</si>
  <si>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</si>
  <si>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Tangible Landscape</t>
  </si>
  <si>
    <t>Image Annotation</t>
  </si>
  <si>
    <t>Task_1</t>
  </si>
  <si>
    <t>Self-study</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</si>
  <si>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</si>
  <si>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</si>
  <si>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</si>
  <si>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</si>
  <si>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</si>
  <si>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</si>
  <si>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</si>
  <si>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</si>
  <si>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</si>
  <si>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</si>
  <si>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</si>
  <si>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</si>
  <si>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</si>
  <si>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</si>
  <si>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</si>
  <si>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</si>
  <si>
    <t>task_2.ipynb</t>
  </si>
  <si>
    <t>1. Basics.ipynb</t>
  </si>
  <si>
    <t>2. Thresholding and Filtering.ipynb</t>
  </si>
  <si>
    <t>3. Morphological Operations.ipynb</t>
  </si>
  <si>
    <t>6. Object Detection with DL.ipynb</t>
  </si>
  <si>
    <t>5. Image Segmentation.ipynb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</si>
</sst>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6"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
      <u/>
      <sz val="9"/>
      <color theme="10"/>
      <name val="Calibri Light"/>
      <family val="2"/>
      <scheme val="maj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15" fillId="0" borderId="0" xfId="1" applyFont="1" applyAlignment="1">
      <alignment horizontal="left" vertical="top" wrapText="1"/>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3" fillId="0" borderId="0" xfId="1" applyAlignment="1">
      <alignment horizontal="left" vertical="top" wrapText="1"/>
    </xf>
  </cellXfs>
  <cellStyles count="2">
    <cellStyle name="Hyperlink" xfId="1" builtinId="8"/>
    <cellStyle name="Normal" xfId="0" builtinId="0"/>
  </cellStyles>
  <dxfs count="18">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BredaUniversityADSAI/2025-26b-fai2-adsai-MaciejCzerniak243552/blob/62773e9e842c67a2a3ca198d81154ed0d85a3169/self_study/w2/6.%20Object%20Detection%20with%20DL.ipynb" TargetMode="External"/><Relationship Id="rId3" Type="http://schemas.openxmlformats.org/officeDocument/2006/relationships/hyperlink" Target="https://github.com/BredaUniversityADSAI/2025-26b-fai2-adsai-MaciejCzerniak243552/blob/62773e9e842c67a2a3ca198d81154ed0d85a3169/self_study/w1/1.%20Basics.ipynb" TargetMode="External"/><Relationship Id="rId7" Type="http://schemas.openxmlformats.org/officeDocument/2006/relationships/hyperlink" Target="https://github.com/BredaUniversityADSAI/2025-26b-fai2-adsai-MaciejCzerniak243552/blob/9741f58710fc02dc03dd1c6d6e1d644911cf66fb/Task_2/task_2.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 Id="rId11" Type="http://schemas.openxmlformats.org/officeDocument/2006/relationships/printerSettings" Target="../printerSettings/printerSettings1.bin"/><Relationship Id="rId5" Type="http://schemas.openxmlformats.org/officeDocument/2006/relationships/hyperlink" Target="https://github.com/BredaUniversityADSAI/2025-26b-fai2-adsai-MaciejCzerniak243552/blob/62773e9e842c67a2a3ca198d81154ed0d85a3169/self_study/w1/2.%20Thresholding%20and%20Filtering.ipynb" TargetMode="External"/><Relationship Id="rId10" Type="http://schemas.openxmlformats.org/officeDocument/2006/relationships/hyperlink" Target="https://github.com/BredaUniversityADSAI/2025-26b-fai2-adsai-MaciejCzerniak243552/blob/62773e9e842c67a2a3ca198d81154ed0d85a3169/self_study/w1/5.%20Image%20Segmentation.ipynb" TargetMode="External"/><Relationship Id="rId4" Type="http://schemas.openxmlformats.org/officeDocument/2006/relationships/hyperlink" Target="https://github.com/BredaUniversityADSAI/2025-26b-fai2-adsai-MaciejCzerniak243552/tree/789491ff1192860a209c9fda587e39433d98bc51/Task_1" TargetMode="External"/><Relationship Id="rId9" Type="http://schemas.openxmlformats.org/officeDocument/2006/relationships/hyperlink" Target="https://github.com/BredaUniversityADSAI/2025-26b-fai2-adsai-MaciejCzerniak243552/blob/62773e9e842c67a2a3ca198d81154ed0d85a3169/self_study/w2/6.%20Object%20Detection%20with%20DL.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7"/>
  <sheetViews>
    <sheetView tabSelected="1" topLeftCell="B1" zoomScaleNormal="100" workbookViewId="0">
      <pane ySplit="1" topLeftCell="A2" activePane="bottomLeft" state="frozen"/>
      <selection pane="bottomLeft" activeCell="K8" sqref="K8"/>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7" t="s">
        <v>11</v>
      </c>
      <c r="B2" s="68"/>
      <c r="C2" s="68"/>
      <c r="D2" s="68"/>
      <c r="E2" s="68"/>
      <c r="F2" s="68"/>
      <c r="G2" s="68"/>
      <c r="H2" s="68"/>
      <c r="I2" s="68"/>
      <c r="J2" s="68"/>
      <c r="K2" s="69"/>
    </row>
    <row r="3" spans="1:11" ht="13.2" x14ac:dyDescent="0.25">
      <c r="A3" s="5" t="s">
        <v>12</v>
      </c>
      <c r="B3" s="70" t="s">
        <v>13</v>
      </c>
      <c r="C3" s="56"/>
      <c r="D3" s="56"/>
      <c r="E3" s="56"/>
      <c r="F3" s="56"/>
      <c r="G3" s="56"/>
      <c r="H3" s="56"/>
      <c r="I3" s="56"/>
      <c r="J3" s="56"/>
      <c r="K3" s="57"/>
    </row>
    <row r="4" spans="1:11" ht="27.75" customHeight="1" x14ac:dyDescent="0.25">
      <c r="A4" s="8" t="s">
        <v>14</v>
      </c>
      <c r="B4" s="70" t="s">
        <v>74</v>
      </c>
      <c r="C4" s="56"/>
      <c r="D4" s="56"/>
      <c r="E4" s="56"/>
      <c r="F4" s="56"/>
      <c r="G4" s="56"/>
      <c r="H4" s="56"/>
      <c r="I4" s="56"/>
      <c r="J4" s="56"/>
      <c r="K4" s="57"/>
    </row>
    <row r="5" spans="1:11" s="50" customFormat="1" ht="24" x14ac:dyDescent="0.25">
      <c r="A5" s="44">
        <v>45971</v>
      </c>
      <c r="B5" s="45" t="s">
        <v>54</v>
      </c>
      <c r="C5" s="46" t="s">
        <v>69</v>
      </c>
      <c r="D5" s="45" t="s">
        <v>69</v>
      </c>
      <c r="E5" s="47" t="s">
        <v>46</v>
      </c>
      <c r="F5" s="47"/>
      <c r="G5" s="48">
        <v>1.25</v>
      </c>
      <c r="H5" s="48">
        <v>1.25</v>
      </c>
      <c r="I5" s="48">
        <f t="shared" ref="I5:I22" si="0">H5-G5</f>
        <v>0</v>
      </c>
      <c r="J5" s="49"/>
      <c r="K5" s="37" t="s">
        <v>70</v>
      </c>
    </row>
    <row r="6" spans="1:11" s="50" customFormat="1" ht="24" x14ac:dyDescent="0.25">
      <c r="B6" s="45" t="s">
        <v>54</v>
      </c>
      <c r="C6" s="46" t="s">
        <v>46</v>
      </c>
      <c r="D6" s="45" t="s">
        <v>77</v>
      </c>
      <c r="E6" s="47" t="s">
        <v>46</v>
      </c>
      <c r="F6" s="47"/>
      <c r="G6" s="48">
        <v>0.25</v>
      </c>
      <c r="H6" s="48">
        <v>0.5</v>
      </c>
      <c r="I6" s="48">
        <f t="shared" si="0"/>
        <v>0.25</v>
      </c>
      <c r="J6" s="49"/>
      <c r="K6" s="37" t="s">
        <v>73</v>
      </c>
    </row>
    <row r="7" spans="1:11" s="50" customFormat="1" ht="13.2" x14ac:dyDescent="0.25">
      <c r="B7" s="45" t="s">
        <v>54</v>
      </c>
      <c r="C7" s="46" t="s">
        <v>71</v>
      </c>
      <c r="D7" s="45" t="s">
        <v>72</v>
      </c>
      <c r="E7" s="47" t="s">
        <v>66</v>
      </c>
      <c r="F7" s="47" t="s">
        <v>78</v>
      </c>
      <c r="G7" s="48">
        <v>3</v>
      </c>
      <c r="H7" s="48">
        <v>3</v>
      </c>
      <c r="I7" s="48">
        <f t="shared" si="0"/>
        <v>0</v>
      </c>
      <c r="J7" s="49"/>
      <c r="K7" s="37"/>
    </row>
    <row r="8" spans="1:11" s="50" customFormat="1" ht="96" x14ac:dyDescent="0.25">
      <c r="B8" s="45" t="s">
        <v>54</v>
      </c>
      <c r="C8" s="46" t="s">
        <v>63</v>
      </c>
      <c r="D8" s="45" t="s">
        <v>75</v>
      </c>
      <c r="E8" s="47" t="s">
        <v>63</v>
      </c>
      <c r="F8" s="47" t="s">
        <v>76</v>
      </c>
      <c r="G8" s="48">
        <v>0.5</v>
      </c>
      <c r="H8" s="48">
        <v>0.5</v>
      </c>
      <c r="I8" s="48">
        <f t="shared" ref="I8" si="1">H8-G8</f>
        <v>0</v>
      </c>
      <c r="J8" s="49"/>
      <c r="K8" s="37" t="s">
        <v>95</v>
      </c>
    </row>
    <row r="9" spans="1:11" s="50" customFormat="1" ht="13.2" x14ac:dyDescent="0.25">
      <c r="B9" s="45" t="s">
        <v>54</v>
      </c>
      <c r="C9" s="46" t="s">
        <v>71</v>
      </c>
      <c r="D9" s="45" t="s">
        <v>92</v>
      </c>
      <c r="E9" s="47" t="s">
        <v>66</v>
      </c>
      <c r="F9" s="47" t="s">
        <v>78</v>
      </c>
      <c r="G9" s="48">
        <v>1</v>
      </c>
      <c r="H9" s="48">
        <v>1</v>
      </c>
      <c r="I9" s="48">
        <f t="shared" si="0"/>
        <v>0</v>
      </c>
      <c r="J9" s="53" t="s">
        <v>93</v>
      </c>
      <c r="K9" s="37"/>
    </row>
    <row r="10" spans="1:11" s="50" customFormat="1" ht="48" x14ac:dyDescent="0.25">
      <c r="A10" s="44">
        <v>45972</v>
      </c>
      <c r="B10" s="45" t="s">
        <v>54</v>
      </c>
      <c r="C10" s="46" t="s">
        <v>80</v>
      </c>
      <c r="D10" s="45" t="s">
        <v>79</v>
      </c>
      <c r="E10" s="47" t="s">
        <v>41</v>
      </c>
      <c r="F10" s="47"/>
      <c r="G10" s="48">
        <v>4</v>
      </c>
      <c r="H10" s="48">
        <v>7</v>
      </c>
      <c r="I10" s="48">
        <f t="shared" si="0"/>
        <v>3</v>
      </c>
      <c r="J10" s="53" t="s">
        <v>91</v>
      </c>
      <c r="K10" s="37" t="s">
        <v>81</v>
      </c>
    </row>
    <row r="11" spans="1:11" s="50" customFormat="1" ht="48" x14ac:dyDescent="0.25">
      <c r="A11" s="44">
        <v>45973</v>
      </c>
      <c r="B11" s="45" t="s">
        <v>54</v>
      </c>
      <c r="C11" s="46" t="s">
        <v>80</v>
      </c>
      <c r="D11" s="45" t="s">
        <v>82</v>
      </c>
      <c r="E11" s="47" t="s">
        <v>41</v>
      </c>
      <c r="F11" s="47"/>
      <c r="G11" s="48">
        <v>4</v>
      </c>
      <c r="H11" s="48">
        <v>12</v>
      </c>
      <c r="I11" s="48">
        <f t="shared" si="0"/>
        <v>8</v>
      </c>
      <c r="J11" s="51"/>
      <c r="K11" s="37" t="s">
        <v>83</v>
      </c>
    </row>
    <row r="12" spans="1:11" s="50" customFormat="1" ht="48" x14ac:dyDescent="0.25">
      <c r="A12" s="44">
        <v>45974</v>
      </c>
      <c r="B12" s="45" t="s">
        <v>54</v>
      </c>
      <c r="C12" s="46" t="s">
        <v>84</v>
      </c>
      <c r="D12" s="45" t="s">
        <v>85</v>
      </c>
      <c r="E12" s="47" t="s">
        <v>66</v>
      </c>
      <c r="F12" s="47" t="s">
        <v>78</v>
      </c>
      <c r="G12" s="48">
        <v>3</v>
      </c>
      <c r="H12" s="48">
        <v>3</v>
      </c>
      <c r="I12" s="48">
        <f t="shared" ref="I12:I15" si="2">H12-G12</f>
        <v>0</v>
      </c>
      <c r="J12" s="49"/>
      <c r="K12" s="37" t="s">
        <v>87</v>
      </c>
    </row>
    <row r="13" spans="1:11" s="50" customFormat="1" ht="13.2" x14ac:dyDescent="0.25">
      <c r="B13" s="45" t="s">
        <v>54</v>
      </c>
      <c r="C13" s="46" t="s">
        <v>84</v>
      </c>
      <c r="D13" s="45" t="s">
        <v>86</v>
      </c>
      <c r="E13" s="47" t="s">
        <v>66</v>
      </c>
      <c r="F13" s="47" t="s">
        <v>78</v>
      </c>
      <c r="G13" s="48">
        <v>4</v>
      </c>
      <c r="H13" s="48">
        <v>4</v>
      </c>
      <c r="I13" s="48">
        <f t="shared" si="2"/>
        <v>0</v>
      </c>
      <c r="J13" s="49"/>
      <c r="K13" s="37"/>
    </row>
    <row r="14" spans="1:11" s="50" customFormat="1" ht="13.2" x14ac:dyDescent="0.25">
      <c r="B14" s="45" t="s">
        <v>54</v>
      </c>
      <c r="C14" s="46" t="s">
        <v>84</v>
      </c>
      <c r="D14" s="45" t="s">
        <v>86</v>
      </c>
      <c r="E14" s="47" t="s">
        <v>66</v>
      </c>
      <c r="F14" s="47" t="s">
        <v>78</v>
      </c>
      <c r="G14" s="48">
        <v>4</v>
      </c>
      <c r="H14" s="48">
        <v>4</v>
      </c>
      <c r="I14" s="48">
        <f t="shared" si="2"/>
        <v>0</v>
      </c>
      <c r="J14" s="49"/>
      <c r="K14" s="37"/>
    </row>
    <row r="15" spans="1:11" s="50" customFormat="1" ht="13.2" x14ac:dyDescent="0.25">
      <c r="A15" s="44">
        <v>45975</v>
      </c>
      <c r="B15" s="45" t="s">
        <v>54</v>
      </c>
      <c r="C15" s="46" t="s">
        <v>71</v>
      </c>
      <c r="D15" s="45" t="s">
        <v>92</v>
      </c>
      <c r="E15" s="47" t="s">
        <v>66</v>
      </c>
      <c r="F15" s="47" t="s">
        <v>78</v>
      </c>
      <c r="G15" s="48">
        <v>3</v>
      </c>
      <c r="H15" s="48">
        <v>3</v>
      </c>
      <c r="I15" s="48">
        <f t="shared" si="2"/>
        <v>0</v>
      </c>
      <c r="J15" s="53" t="s">
        <v>93</v>
      </c>
      <c r="K15" s="37"/>
    </row>
    <row r="16" spans="1:11" s="50" customFormat="1" ht="24" x14ac:dyDescent="0.25">
      <c r="B16" s="45" t="s">
        <v>54</v>
      </c>
      <c r="C16" s="46" t="s">
        <v>84</v>
      </c>
      <c r="D16" s="45" t="s">
        <v>86</v>
      </c>
      <c r="E16" s="47" t="s">
        <v>66</v>
      </c>
      <c r="F16" s="47" t="s">
        <v>78</v>
      </c>
      <c r="G16" s="48">
        <v>2</v>
      </c>
      <c r="H16" s="48">
        <v>2</v>
      </c>
      <c r="I16" s="48">
        <f t="shared" si="0"/>
        <v>0</v>
      </c>
      <c r="J16" s="49"/>
      <c r="K16" s="37" t="s">
        <v>90</v>
      </c>
    </row>
    <row r="17" spans="1:11" s="50" customFormat="1" ht="24" x14ac:dyDescent="0.25">
      <c r="B17" s="45" t="s">
        <v>54</v>
      </c>
      <c r="C17" s="46" t="s">
        <v>94</v>
      </c>
      <c r="D17" s="45" t="s">
        <v>88</v>
      </c>
      <c r="E17" s="47" t="s">
        <v>66</v>
      </c>
      <c r="F17" s="47" t="s">
        <v>78</v>
      </c>
      <c r="G17" s="48">
        <v>2</v>
      </c>
      <c r="H17" s="48">
        <v>2</v>
      </c>
      <c r="I17" s="48">
        <f t="shared" si="0"/>
        <v>0</v>
      </c>
      <c r="J17" s="80" t="s">
        <v>112</v>
      </c>
      <c r="K17" s="37" t="s">
        <v>89</v>
      </c>
    </row>
    <row r="18" spans="1:11" s="50" customFormat="1" ht="13.2" x14ac:dyDescent="0.25">
      <c r="A18" s="44">
        <v>45976</v>
      </c>
      <c r="B18" s="45" t="s">
        <v>54</v>
      </c>
      <c r="C18" s="46" t="s">
        <v>63</v>
      </c>
      <c r="D18" s="45" t="s">
        <v>75</v>
      </c>
      <c r="E18" s="47" t="s">
        <v>63</v>
      </c>
      <c r="F18" s="47" t="s">
        <v>76</v>
      </c>
      <c r="G18" s="48">
        <v>0.5</v>
      </c>
      <c r="H18" s="48">
        <v>0.5</v>
      </c>
      <c r="I18" s="48">
        <f t="shared" si="0"/>
        <v>0</v>
      </c>
      <c r="K18" s="37"/>
    </row>
    <row r="19" spans="1:11" s="50" customFormat="1" ht="26.4" x14ac:dyDescent="0.25">
      <c r="B19" s="45" t="s">
        <v>54</v>
      </c>
      <c r="C19" s="46" t="s">
        <v>94</v>
      </c>
      <c r="D19" s="45" t="s">
        <v>88</v>
      </c>
      <c r="E19" s="47" t="s">
        <v>66</v>
      </c>
      <c r="F19" s="47" t="s">
        <v>78</v>
      </c>
      <c r="G19" s="48">
        <v>1</v>
      </c>
      <c r="H19" s="48">
        <v>1</v>
      </c>
      <c r="I19" s="48">
        <f t="shared" si="0"/>
        <v>0</v>
      </c>
      <c r="J19" s="80" t="s">
        <v>113</v>
      </c>
      <c r="K19" s="37"/>
    </row>
    <row r="20" spans="1:11" s="50" customFormat="1" ht="26.4" x14ac:dyDescent="0.25">
      <c r="A20" s="44">
        <v>45977</v>
      </c>
      <c r="B20" s="45" t="s">
        <v>54</v>
      </c>
      <c r="C20" s="46" t="s">
        <v>94</v>
      </c>
      <c r="D20" s="45" t="s">
        <v>88</v>
      </c>
      <c r="E20" s="47" t="s">
        <v>66</v>
      </c>
      <c r="F20" s="47" t="s">
        <v>78</v>
      </c>
      <c r="G20" s="48">
        <v>0.5</v>
      </c>
      <c r="H20" s="48">
        <v>0.5</v>
      </c>
      <c r="I20" s="48">
        <f t="shared" si="0"/>
        <v>0</v>
      </c>
      <c r="J20" s="80" t="s">
        <v>114</v>
      </c>
      <c r="K20" s="37"/>
    </row>
    <row r="21" spans="1:11" s="50" customFormat="1" ht="84" x14ac:dyDescent="0.25">
      <c r="B21" s="45" t="s">
        <v>54</v>
      </c>
      <c r="C21" s="46" t="s">
        <v>63</v>
      </c>
      <c r="D21" s="45" t="s">
        <v>75</v>
      </c>
      <c r="E21" s="47" t="s">
        <v>63</v>
      </c>
      <c r="F21" s="47" t="s">
        <v>76</v>
      </c>
      <c r="G21" s="48">
        <v>0.5</v>
      </c>
      <c r="H21" s="48">
        <v>0.5</v>
      </c>
      <c r="I21" s="48">
        <f t="shared" ref="I21" si="3">H21-G21</f>
        <v>0</v>
      </c>
      <c r="J21" s="51"/>
      <c r="K21" s="37" t="s">
        <v>96</v>
      </c>
    </row>
    <row r="22" spans="1:11" ht="13.2" x14ac:dyDescent="0.25">
      <c r="A22" s="13"/>
      <c r="B22" s="15"/>
      <c r="C22" s="15"/>
      <c r="D22" s="15"/>
      <c r="E22" s="15" t="s">
        <v>17</v>
      </c>
      <c r="F22" s="15"/>
      <c r="G22" s="18">
        <f>SUM(G5:G21)</f>
        <v>34.5</v>
      </c>
      <c r="H22" s="18">
        <f>SUM(H5:H21)</f>
        <v>45.75</v>
      </c>
      <c r="I22" s="18">
        <f t="shared" si="0"/>
        <v>11.25</v>
      </c>
      <c r="J22" s="19"/>
      <c r="K22" s="38"/>
    </row>
    <row r="23" spans="1:11" ht="18.75" customHeight="1" x14ac:dyDescent="0.25">
      <c r="A23" s="71" t="s">
        <v>18</v>
      </c>
      <c r="B23" s="68"/>
      <c r="C23" s="68"/>
      <c r="D23" s="68"/>
      <c r="E23" s="68"/>
      <c r="F23" s="68"/>
      <c r="G23" s="68"/>
      <c r="H23" s="68"/>
      <c r="I23" s="68"/>
      <c r="J23" s="68"/>
      <c r="K23" s="69"/>
    </row>
    <row r="24" spans="1:11" ht="13.2" x14ac:dyDescent="0.25">
      <c r="A24" s="31" t="s">
        <v>12</v>
      </c>
      <c r="B24" s="72" t="s">
        <v>13</v>
      </c>
      <c r="C24" s="56"/>
      <c r="D24" s="56"/>
      <c r="E24" s="56"/>
      <c r="F24" s="56"/>
      <c r="G24" s="56"/>
      <c r="H24" s="56"/>
      <c r="I24" s="56"/>
      <c r="J24" s="56"/>
      <c r="K24" s="57"/>
    </row>
    <row r="25" spans="1:11" ht="27.75" customHeight="1" x14ac:dyDescent="0.25">
      <c r="A25" s="20" t="s">
        <v>14</v>
      </c>
      <c r="B25" s="72" t="s">
        <v>19</v>
      </c>
      <c r="C25" s="56"/>
      <c r="D25" s="56"/>
      <c r="E25" s="56"/>
      <c r="F25" s="56"/>
      <c r="G25" s="56"/>
      <c r="H25" s="56"/>
      <c r="I25" s="56"/>
      <c r="J25" s="56"/>
      <c r="K25" s="57"/>
    </row>
    <row r="26" spans="1:11" s="50" customFormat="1" ht="26.4" x14ac:dyDescent="0.25">
      <c r="A26" s="52">
        <v>45978</v>
      </c>
      <c r="B26" s="45" t="s">
        <v>54</v>
      </c>
      <c r="C26" s="46" t="s">
        <v>94</v>
      </c>
      <c r="D26" s="45" t="s">
        <v>88</v>
      </c>
      <c r="E26" s="47" t="s">
        <v>66</v>
      </c>
      <c r="F26" s="47" t="s">
        <v>78</v>
      </c>
      <c r="G26" s="48">
        <v>1</v>
      </c>
      <c r="H26" s="48">
        <v>1</v>
      </c>
      <c r="I26" s="48">
        <f t="shared" ref="I26:I56" si="4">H26-G26</f>
        <v>0</v>
      </c>
      <c r="J26" s="80" t="s">
        <v>116</v>
      </c>
      <c r="K26" s="37" t="s">
        <v>97</v>
      </c>
    </row>
    <row r="27" spans="1:11" s="50" customFormat="1" ht="180" x14ac:dyDescent="0.25">
      <c r="B27" s="45" t="s">
        <v>54</v>
      </c>
      <c r="C27" s="46" t="s">
        <v>98</v>
      </c>
      <c r="D27" s="45" t="s">
        <v>99</v>
      </c>
      <c r="E27" s="47" t="s">
        <v>46</v>
      </c>
      <c r="F27" s="47" t="s">
        <v>76</v>
      </c>
      <c r="G27" s="48">
        <v>0.25</v>
      </c>
      <c r="H27" s="48">
        <v>0.4</v>
      </c>
      <c r="I27" s="48">
        <f t="shared" si="4"/>
        <v>0.15000000000000002</v>
      </c>
      <c r="J27" s="51"/>
      <c r="K27" s="37" t="s">
        <v>106</v>
      </c>
    </row>
    <row r="28" spans="1:11" s="50" customFormat="1" ht="26.4" x14ac:dyDescent="0.25">
      <c r="B28" s="45" t="s">
        <v>54</v>
      </c>
      <c r="C28" s="46" t="s">
        <v>94</v>
      </c>
      <c r="D28" s="45" t="s">
        <v>103</v>
      </c>
      <c r="E28" s="47" t="s">
        <v>66</v>
      </c>
      <c r="F28" s="47" t="s">
        <v>78</v>
      </c>
      <c r="G28" s="48">
        <v>1</v>
      </c>
      <c r="H28" s="48">
        <v>1</v>
      </c>
      <c r="I28" s="48">
        <f t="shared" si="4"/>
        <v>0</v>
      </c>
      <c r="J28" s="80" t="s">
        <v>115</v>
      </c>
      <c r="K28" s="37"/>
    </row>
    <row r="29" spans="1:11" s="50" customFormat="1" ht="13.2" x14ac:dyDescent="0.25">
      <c r="B29" s="45" t="s">
        <v>54</v>
      </c>
      <c r="C29" s="46" t="s">
        <v>71</v>
      </c>
      <c r="D29" s="45" t="s">
        <v>100</v>
      </c>
      <c r="E29" s="47" t="s">
        <v>66</v>
      </c>
      <c r="F29" s="47" t="s">
        <v>78</v>
      </c>
      <c r="G29" s="48">
        <v>4</v>
      </c>
      <c r="H29" s="48">
        <v>4</v>
      </c>
      <c r="I29" s="48"/>
      <c r="K29" s="37"/>
    </row>
    <row r="30" spans="1:11" s="50" customFormat="1" ht="24" x14ac:dyDescent="0.25">
      <c r="A30" s="52">
        <v>45979</v>
      </c>
      <c r="B30" s="45" t="s">
        <v>54</v>
      </c>
      <c r="C30" s="46" t="s">
        <v>80</v>
      </c>
      <c r="D30" s="45" t="s">
        <v>79</v>
      </c>
      <c r="E30" s="47" t="s">
        <v>41</v>
      </c>
      <c r="F30" s="47"/>
      <c r="G30" s="48">
        <v>4</v>
      </c>
      <c r="H30" s="48">
        <v>4</v>
      </c>
      <c r="I30" s="48">
        <f t="shared" si="4"/>
        <v>0</v>
      </c>
      <c r="J30" s="51"/>
      <c r="K30" s="37" t="s">
        <v>101</v>
      </c>
    </row>
    <row r="31" spans="1:11" s="50" customFormat="1" ht="24" x14ac:dyDescent="0.25">
      <c r="B31" s="45" t="s">
        <v>54</v>
      </c>
      <c r="C31" s="46" t="s">
        <v>71</v>
      </c>
      <c r="D31" s="45" t="s">
        <v>100</v>
      </c>
      <c r="E31" s="47" t="s">
        <v>66</v>
      </c>
      <c r="F31" s="47" t="s">
        <v>78</v>
      </c>
      <c r="G31" s="48">
        <v>4</v>
      </c>
      <c r="H31" s="48">
        <v>4</v>
      </c>
      <c r="I31" s="48">
        <f t="shared" si="4"/>
        <v>0</v>
      </c>
      <c r="J31" s="51"/>
      <c r="K31" s="37" t="s">
        <v>102</v>
      </c>
    </row>
    <row r="32" spans="1:11" s="50" customFormat="1" ht="26.4" x14ac:dyDescent="0.25">
      <c r="B32" s="45" t="s">
        <v>54</v>
      </c>
      <c r="C32" s="46" t="s">
        <v>94</v>
      </c>
      <c r="D32" s="45" t="s">
        <v>103</v>
      </c>
      <c r="E32" s="47" t="s">
        <v>66</v>
      </c>
      <c r="F32" s="47" t="s">
        <v>78</v>
      </c>
      <c r="G32" s="48">
        <v>1</v>
      </c>
      <c r="H32" s="48">
        <v>1</v>
      </c>
      <c r="I32" s="48">
        <f t="shared" si="4"/>
        <v>0</v>
      </c>
      <c r="J32" s="80" t="s">
        <v>115</v>
      </c>
      <c r="K32" s="37" t="s">
        <v>104</v>
      </c>
    </row>
    <row r="33" spans="1:11" s="50" customFormat="1" ht="13.2" x14ac:dyDescent="0.25">
      <c r="A33" s="52">
        <v>45980</v>
      </c>
      <c r="B33" s="45" t="s">
        <v>54</v>
      </c>
      <c r="C33" s="46" t="s">
        <v>46</v>
      </c>
      <c r="D33" s="45" t="s">
        <v>77</v>
      </c>
      <c r="E33" s="47" t="s">
        <v>46</v>
      </c>
      <c r="F33" s="47" t="s">
        <v>76</v>
      </c>
      <c r="G33" s="48">
        <v>0.25</v>
      </c>
      <c r="H33" s="48">
        <v>0.25</v>
      </c>
      <c r="I33" s="48">
        <f t="shared" si="4"/>
        <v>0</v>
      </c>
      <c r="J33" s="51"/>
      <c r="K33" s="37"/>
    </row>
    <row r="34" spans="1:11" s="50" customFormat="1" ht="36" x14ac:dyDescent="0.25">
      <c r="A34" s="52"/>
      <c r="B34" s="45" t="s">
        <v>54</v>
      </c>
      <c r="C34" s="46" t="s">
        <v>107</v>
      </c>
      <c r="D34" s="45" t="s">
        <v>108</v>
      </c>
      <c r="E34" s="47" t="s">
        <v>49</v>
      </c>
      <c r="F34" s="47" t="s">
        <v>78</v>
      </c>
      <c r="G34" s="48">
        <v>4</v>
      </c>
      <c r="H34" s="48">
        <v>4</v>
      </c>
      <c r="I34" s="48">
        <f t="shared" ref="I34" si="5">H34-G34</f>
        <v>0</v>
      </c>
      <c r="J34" s="51"/>
      <c r="K34" s="37" t="s">
        <v>109</v>
      </c>
    </row>
    <row r="35" spans="1:11" s="50" customFormat="1" ht="36" x14ac:dyDescent="0.25">
      <c r="A35" s="52"/>
      <c r="B35" s="45" t="s">
        <v>54</v>
      </c>
      <c r="C35" s="46" t="s">
        <v>107</v>
      </c>
      <c r="D35" s="45" t="s">
        <v>108</v>
      </c>
      <c r="E35" s="47" t="s">
        <v>49</v>
      </c>
      <c r="F35" s="47" t="s">
        <v>78</v>
      </c>
      <c r="G35" s="48">
        <v>2</v>
      </c>
      <c r="H35" s="48">
        <v>2</v>
      </c>
      <c r="I35" s="48">
        <f t="shared" ref="I35:I40" si="6">H35-G35</f>
        <v>0</v>
      </c>
      <c r="J35" s="54" t="s">
        <v>111</v>
      </c>
      <c r="K35" s="37" t="s">
        <v>110</v>
      </c>
    </row>
    <row r="36" spans="1:11" s="50" customFormat="1" ht="228" x14ac:dyDescent="0.25">
      <c r="A36" s="52"/>
      <c r="B36" s="45" t="s">
        <v>54</v>
      </c>
      <c r="C36" s="46" t="s">
        <v>63</v>
      </c>
      <c r="D36" s="45" t="s">
        <v>75</v>
      </c>
      <c r="E36" s="47" t="s">
        <v>63</v>
      </c>
      <c r="F36" s="47" t="s">
        <v>76</v>
      </c>
      <c r="G36" s="48">
        <v>1</v>
      </c>
      <c r="H36" s="48">
        <v>1</v>
      </c>
      <c r="I36" s="48">
        <f>H36-G36</f>
        <v>0</v>
      </c>
      <c r="J36" s="51"/>
      <c r="K36" s="37" t="s">
        <v>105</v>
      </c>
    </row>
    <row r="37" spans="1:11" s="50" customFormat="1" ht="13.2" x14ac:dyDescent="0.25">
      <c r="A37" s="52">
        <v>45981</v>
      </c>
      <c r="B37" s="45"/>
      <c r="C37" s="46" t="s">
        <v>16</v>
      </c>
      <c r="D37" s="45"/>
      <c r="E37" s="47"/>
      <c r="F37" s="47"/>
      <c r="G37" s="48"/>
      <c r="H37" s="48"/>
      <c r="I37" s="48">
        <f t="shared" si="6"/>
        <v>0</v>
      </c>
      <c r="J37" s="51"/>
      <c r="K37" s="37"/>
    </row>
    <row r="38" spans="1:11" s="50" customFormat="1" ht="13.2" x14ac:dyDescent="0.25">
      <c r="A38" s="52"/>
      <c r="B38" s="45"/>
      <c r="C38" s="46" t="s">
        <v>16</v>
      </c>
      <c r="D38" s="45"/>
      <c r="E38" s="47"/>
      <c r="F38" s="47"/>
      <c r="G38" s="48"/>
      <c r="H38" s="48"/>
      <c r="I38" s="48">
        <f t="shared" si="6"/>
        <v>0</v>
      </c>
      <c r="J38" s="51"/>
      <c r="K38" s="37"/>
    </row>
    <row r="39" spans="1:11" s="50" customFormat="1" ht="13.2" x14ac:dyDescent="0.25">
      <c r="A39" s="52"/>
      <c r="B39" s="45"/>
      <c r="C39" s="46" t="s">
        <v>16</v>
      </c>
      <c r="D39" s="45"/>
      <c r="E39" s="47"/>
      <c r="F39" s="47"/>
      <c r="G39" s="48"/>
      <c r="H39" s="48"/>
      <c r="I39" s="48">
        <f t="shared" si="6"/>
        <v>0</v>
      </c>
      <c r="J39" s="51"/>
      <c r="K39" s="37"/>
    </row>
    <row r="40" spans="1:11" s="50" customFormat="1" ht="13.2" x14ac:dyDescent="0.25">
      <c r="A40" s="52"/>
      <c r="B40" s="45"/>
      <c r="C40" s="46" t="s">
        <v>16</v>
      </c>
      <c r="D40" s="45"/>
      <c r="E40" s="47"/>
      <c r="F40" s="47"/>
      <c r="G40" s="48"/>
      <c r="H40" s="48"/>
      <c r="I40" s="48">
        <f t="shared" si="6"/>
        <v>0</v>
      </c>
      <c r="J40" s="51"/>
      <c r="K40" s="37"/>
    </row>
    <row r="41" spans="1:11" s="50" customFormat="1" ht="13.2" x14ac:dyDescent="0.25">
      <c r="A41" s="52"/>
      <c r="B41" s="45"/>
      <c r="C41" s="46" t="s">
        <v>16</v>
      </c>
      <c r="D41" s="45"/>
      <c r="E41" s="47"/>
      <c r="F41" s="47"/>
      <c r="G41" s="48"/>
      <c r="H41" s="48"/>
      <c r="I41" s="48">
        <f t="shared" si="4"/>
        <v>0</v>
      </c>
      <c r="J41" s="51"/>
      <c r="K41" s="37"/>
    </row>
    <row r="42" spans="1:11" s="50" customFormat="1" ht="13.2" x14ac:dyDescent="0.25">
      <c r="B42" s="45"/>
      <c r="C42" s="46" t="s">
        <v>16</v>
      </c>
      <c r="D42" s="45"/>
      <c r="E42" s="47"/>
      <c r="F42" s="47"/>
      <c r="G42" s="48"/>
      <c r="H42" s="48"/>
      <c r="I42" s="48">
        <f t="shared" ref="I42:I54" si="7">H42-G42</f>
        <v>0</v>
      </c>
      <c r="J42" s="51"/>
      <c r="K42" s="37"/>
    </row>
    <row r="43" spans="1:11" s="50" customFormat="1" ht="13.2" x14ac:dyDescent="0.25">
      <c r="B43" s="45"/>
      <c r="C43" s="46" t="s">
        <v>16</v>
      </c>
      <c r="D43" s="45"/>
      <c r="E43" s="47"/>
      <c r="F43" s="47"/>
      <c r="G43" s="48"/>
      <c r="H43" s="48"/>
      <c r="I43" s="48">
        <f t="shared" si="7"/>
        <v>0</v>
      </c>
      <c r="J43" s="51"/>
      <c r="K43" s="37"/>
    </row>
    <row r="44" spans="1:11" s="50" customFormat="1" ht="13.2" x14ac:dyDescent="0.25">
      <c r="A44" s="52">
        <v>45982</v>
      </c>
      <c r="B44" s="45"/>
      <c r="C44" s="46" t="s">
        <v>16</v>
      </c>
      <c r="D44" s="45"/>
      <c r="E44" s="47"/>
      <c r="F44" s="47"/>
      <c r="G44" s="48"/>
      <c r="H44" s="48"/>
      <c r="I44" s="48">
        <f t="shared" si="7"/>
        <v>0</v>
      </c>
      <c r="J44" s="51"/>
      <c r="K44" s="37"/>
    </row>
    <row r="45" spans="1:11" s="50" customFormat="1" ht="13.2" x14ac:dyDescent="0.25">
      <c r="A45" s="52"/>
      <c r="B45" s="45"/>
      <c r="C45" s="46" t="s">
        <v>16</v>
      </c>
      <c r="D45" s="45"/>
      <c r="E45" s="47"/>
      <c r="F45" s="47"/>
      <c r="G45" s="48"/>
      <c r="H45" s="48"/>
      <c r="I45" s="48">
        <f t="shared" si="7"/>
        <v>0</v>
      </c>
      <c r="J45" s="51"/>
      <c r="K45" s="37"/>
    </row>
    <row r="46" spans="1:11" s="50" customFormat="1" ht="13.2" x14ac:dyDescent="0.25">
      <c r="A46" s="52"/>
      <c r="B46" s="45"/>
      <c r="C46" s="46" t="s">
        <v>16</v>
      </c>
      <c r="D46" s="45"/>
      <c r="E46" s="47"/>
      <c r="F46" s="47"/>
      <c r="G46" s="48"/>
      <c r="H46" s="48"/>
      <c r="I46" s="48">
        <f t="shared" si="7"/>
        <v>0</v>
      </c>
      <c r="J46" s="51"/>
      <c r="K46" s="37"/>
    </row>
    <row r="47" spans="1:11" s="50" customFormat="1" ht="13.2" x14ac:dyDescent="0.25">
      <c r="A47" s="52"/>
      <c r="B47" s="45"/>
      <c r="C47" s="46" t="s">
        <v>16</v>
      </c>
      <c r="D47" s="45"/>
      <c r="E47" s="47"/>
      <c r="F47" s="47"/>
      <c r="G47" s="48"/>
      <c r="H47" s="48"/>
      <c r="I47" s="48">
        <f t="shared" si="7"/>
        <v>0</v>
      </c>
      <c r="J47" s="51"/>
      <c r="K47" s="37"/>
    </row>
    <row r="48" spans="1:11" s="50" customFormat="1" ht="13.2" x14ac:dyDescent="0.25">
      <c r="A48" s="52"/>
      <c r="B48" s="45"/>
      <c r="C48" s="46" t="s">
        <v>16</v>
      </c>
      <c r="D48" s="45"/>
      <c r="E48" s="47"/>
      <c r="F48" s="47"/>
      <c r="G48" s="48"/>
      <c r="H48" s="48"/>
      <c r="I48" s="48">
        <f t="shared" si="7"/>
        <v>0</v>
      </c>
      <c r="J48" s="51"/>
      <c r="K48" s="37"/>
    </row>
    <row r="49" spans="1:11" s="50" customFormat="1" ht="13.2" x14ac:dyDescent="0.25">
      <c r="A49" s="52"/>
      <c r="B49" s="45"/>
      <c r="C49" s="46" t="s">
        <v>16</v>
      </c>
      <c r="D49" s="45"/>
      <c r="E49" s="47"/>
      <c r="F49" s="47"/>
      <c r="G49" s="48"/>
      <c r="H49" s="48"/>
      <c r="I49" s="48">
        <f t="shared" si="7"/>
        <v>0</v>
      </c>
      <c r="J49" s="51"/>
      <c r="K49" s="37"/>
    </row>
    <row r="50" spans="1:11" s="50" customFormat="1" ht="13.2" x14ac:dyDescent="0.25">
      <c r="A50" s="52"/>
      <c r="B50" s="45"/>
      <c r="C50" s="46" t="s">
        <v>16</v>
      </c>
      <c r="D50" s="45"/>
      <c r="E50" s="47"/>
      <c r="F50" s="47"/>
      <c r="G50" s="48"/>
      <c r="H50" s="48"/>
      <c r="I50" s="48">
        <f t="shared" si="7"/>
        <v>0</v>
      </c>
      <c r="J50" s="51"/>
      <c r="K50" s="37"/>
    </row>
    <row r="51" spans="1:11" s="50" customFormat="1" ht="13.2" x14ac:dyDescent="0.25">
      <c r="A51" s="52"/>
      <c r="B51" s="45"/>
      <c r="C51" s="46" t="s">
        <v>16</v>
      </c>
      <c r="D51" s="45"/>
      <c r="E51" s="47"/>
      <c r="F51" s="47"/>
      <c r="G51" s="48"/>
      <c r="H51" s="48"/>
      <c r="I51" s="48">
        <f t="shared" si="7"/>
        <v>0</v>
      </c>
      <c r="J51" s="51"/>
      <c r="K51" s="37"/>
    </row>
    <row r="52" spans="1:11" s="50" customFormat="1" ht="13.2" x14ac:dyDescent="0.25">
      <c r="A52" s="52"/>
      <c r="B52" s="45"/>
      <c r="C52" s="46" t="s">
        <v>16</v>
      </c>
      <c r="D52" s="45"/>
      <c r="E52" s="47"/>
      <c r="F52" s="47"/>
      <c r="G52" s="48"/>
      <c r="H52" s="48"/>
      <c r="I52" s="48">
        <f t="shared" si="7"/>
        <v>0</v>
      </c>
      <c r="J52" s="51"/>
      <c r="K52" s="37"/>
    </row>
    <row r="53" spans="1:11" s="50" customFormat="1" ht="13.2" x14ac:dyDescent="0.25">
      <c r="A53" s="52"/>
      <c r="B53" s="45"/>
      <c r="C53" s="46" t="s">
        <v>16</v>
      </c>
      <c r="D53" s="45"/>
      <c r="E53" s="47"/>
      <c r="F53" s="47"/>
      <c r="G53" s="48"/>
      <c r="H53" s="48"/>
      <c r="I53" s="48">
        <f t="shared" si="7"/>
        <v>0</v>
      </c>
      <c r="J53" s="51"/>
      <c r="K53" s="37"/>
    </row>
    <row r="54" spans="1:11" s="50" customFormat="1" ht="13.2" x14ac:dyDescent="0.25">
      <c r="A54" s="52"/>
      <c r="B54" s="45"/>
      <c r="C54" s="46" t="s">
        <v>16</v>
      </c>
      <c r="D54" s="45"/>
      <c r="E54" s="47"/>
      <c r="F54" s="47"/>
      <c r="G54" s="48"/>
      <c r="H54" s="48"/>
      <c r="I54" s="48">
        <f t="shared" si="7"/>
        <v>0</v>
      </c>
      <c r="J54" s="51"/>
      <c r="K54" s="37"/>
    </row>
    <row r="55" spans="1:11" s="50" customFormat="1" ht="13.2" x14ac:dyDescent="0.25">
      <c r="A55" s="52"/>
      <c r="B55" s="45"/>
      <c r="C55" s="46" t="s">
        <v>16</v>
      </c>
      <c r="D55" s="45"/>
      <c r="E55" s="47"/>
      <c r="F55" s="47"/>
      <c r="G55" s="48"/>
      <c r="H55" s="48"/>
      <c r="I55" s="48">
        <f t="shared" si="4"/>
        <v>0</v>
      </c>
      <c r="J55" s="51"/>
      <c r="K55" s="37"/>
    </row>
    <row r="56" spans="1:11" ht="13.2" x14ac:dyDescent="0.25">
      <c r="A56" s="13"/>
      <c r="B56" s="15"/>
      <c r="C56" s="15"/>
      <c r="D56" s="15"/>
      <c r="E56" s="15" t="s">
        <v>17</v>
      </c>
      <c r="F56" s="15"/>
      <c r="G56" s="18">
        <f t="shared" ref="G56:H56" si="8">SUM(G24:G55)</f>
        <v>22.5</v>
      </c>
      <c r="H56" s="18">
        <f t="shared" si="8"/>
        <v>22.65</v>
      </c>
      <c r="I56" s="18">
        <f t="shared" si="4"/>
        <v>0.14999999999999858</v>
      </c>
      <c r="J56" s="19"/>
      <c r="K56" s="38"/>
    </row>
    <row r="57" spans="1:11" ht="18.75" customHeight="1" x14ac:dyDescent="0.25">
      <c r="A57" s="73" t="s">
        <v>20</v>
      </c>
      <c r="B57" s="56"/>
      <c r="C57" s="56"/>
      <c r="D57" s="56"/>
      <c r="E57" s="56"/>
      <c r="F57" s="56"/>
      <c r="G57" s="56"/>
      <c r="H57" s="56"/>
      <c r="I57" s="56"/>
      <c r="J57" s="56"/>
      <c r="K57" s="57"/>
    </row>
    <row r="58" spans="1:11" ht="13.2" x14ac:dyDescent="0.25">
      <c r="A58" s="21" t="s">
        <v>12</v>
      </c>
      <c r="B58" s="74" t="s">
        <v>13</v>
      </c>
      <c r="C58" s="56"/>
      <c r="D58" s="56"/>
      <c r="E58" s="56"/>
      <c r="F58" s="56"/>
      <c r="G58" s="56"/>
      <c r="H58" s="56"/>
      <c r="I58" s="56"/>
      <c r="J58" s="56"/>
      <c r="K58" s="57"/>
    </row>
    <row r="59" spans="1:11" ht="27.75" customHeight="1" x14ac:dyDescent="0.25">
      <c r="A59" s="22" t="s">
        <v>14</v>
      </c>
      <c r="B59" s="74" t="s">
        <v>15</v>
      </c>
      <c r="C59" s="56"/>
      <c r="D59" s="56"/>
      <c r="E59" s="56"/>
      <c r="F59" s="56"/>
      <c r="G59" s="56"/>
      <c r="H59" s="56"/>
      <c r="I59" s="56"/>
      <c r="J59" s="56"/>
      <c r="K59" s="57"/>
    </row>
    <row r="60" spans="1:11" s="50" customFormat="1" ht="13.2" x14ac:dyDescent="0.25">
      <c r="A60" s="44"/>
      <c r="B60" s="45"/>
      <c r="C60" s="46" t="s">
        <v>16</v>
      </c>
      <c r="D60" s="45"/>
      <c r="E60" s="47"/>
      <c r="F60" s="47"/>
      <c r="G60" s="48"/>
      <c r="H60" s="48"/>
      <c r="I60" s="48">
        <f t="shared" ref="I60:I79" si="9">H60-G60</f>
        <v>0</v>
      </c>
      <c r="J60" s="51"/>
      <c r="K60" s="37"/>
    </row>
    <row r="61" spans="1:11" s="50" customFormat="1" ht="13.2" x14ac:dyDescent="0.25">
      <c r="A61" s="44"/>
      <c r="B61" s="45"/>
      <c r="C61" s="46" t="s">
        <v>16</v>
      </c>
      <c r="D61" s="45"/>
      <c r="E61" s="47"/>
      <c r="F61" s="47"/>
      <c r="G61" s="48"/>
      <c r="H61" s="48"/>
      <c r="I61" s="48">
        <f t="shared" si="9"/>
        <v>0</v>
      </c>
      <c r="J61" s="51"/>
      <c r="K61" s="37"/>
    </row>
    <row r="62" spans="1:11" s="50" customFormat="1" ht="13.2" x14ac:dyDescent="0.25">
      <c r="A62" s="44"/>
      <c r="B62" s="45"/>
      <c r="C62" s="46" t="s">
        <v>16</v>
      </c>
      <c r="D62" s="45"/>
      <c r="E62" s="47"/>
      <c r="F62" s="47"/>
      <c r="G62" s="48"/>
      <c r="H62" s="48"/>
      <c r="I62" s="48">
        <f t="shared" si="9"/>
        <v>0</v>
      </c>
      <c r="J62" s="51"/>
      <c r="K62" s="37"/>
    </row>
    <row r="63" spans="1:11" s="50" customFormat="1" ht="13.2" x14ac:dyDescent="0.25">
      <c r="A63" s="44"/>
      <c r="B63" s="45"/>
      <c r="C63" s="46" t="s">
        <v>16</v>
      </c>
      <c r="D63" s="45"/>
      <c r="E63" s="47"/>
      <c r="F63" s="47"/>
      <c r="G63" s="48"/>
      <c r="H63" s="48"/>
      <c r="I63" s="48">
        <f t="shared" si="9"/>
        <v>0</v>
      </c>
      <c r="J63" s="51"/>
      <c r="K63" s="37"/>
    </row>
    <row r="64" spans="1:11" s="50" customFormat="1" ht="13.2" x14ac:dyDescent="0.25">
      <c r="A64" s="44"/>
      <c r="B64" s="45"/>
      <c r="C64" s="46" t="s">
        <v>16</v>
      </c>
      <c r="D64" s="45"/>
      <c r="E64" s="47"/>
      <c r="F64" s="47"/>
      <c r="G64" s="48"/>
      <c r="H64" s="48"/>
      <c r="I64" s="48">
        <f t="shared" si="9"/>
        <v>0</v>
      </c>
      <c r="J64" s="51"/>
      <c r="K64" s="37"/>
    </row>
    <row r="65" spans="1:11" s="50" customFormat="1" ht="13.2" x14ac:dyDescent="0.25">
      <c r="A65" s="44"/>
      <c r="B65" s="45"/>
      <c r="C65" s="46" t="s">
        <v>16</v>
      </c>
      <c r="D65" s="45"/>
      <c r="E65" s="47"/>
      <c r="F65" s="47"/>
      <c r="G65" s="48"/>
      <c r="H65" s="48"/>
      <c r="I65" s="48">
        <f t="shared" si="9"/>
        <v>0</v>
      </c>
      <c r="J65" s="51"/>
      <c r="K65" s="37"/>
    </row>
    <row r="66" spans="1:11" s="50" customFormat="1" ht="13.2" x14ac:dyDescent="0.25">
      <c r="A66" s="44"/>
      <c r="B66" s="45"/>
      <c r="C66" s="46" t="s">
        <v>16</v>
      </c>
      <c r="D66" s="45"/>
      <c r="E66" s="47"/>
      <c r="F66" s="47"/>
      <c r="G66" s="48"/>
      <c r="H66" s="48"/>
      <c r="I66" s="48">
        <f t="shared" si="9"/>
        <v>0</v>
      </c>
      <c r="J66" s="51"/>
      <c r="K66" s="37"/>
    </row>
    <row r="67" spans="1:11" s="50" customFormat="1" ht="13.2" x14ac:dyDescent="0.25">
      <c r="A67" s="44"/>
      <c r="B67" s="45"/>
      <c r="C67" s="46" t="s">
        <v>16</v>
      </c>
      <c r="D67" s="45"/>
      <c r="E67" s="47"/>
      <c r="F67" s="47"/>
      <c r="G67" s="48"/>
      <c r="H67" s="48"/>
      <c r="I67" s="48">
        <f t="shared" si="9"/>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ref="I69:I77" si="10">H69-G69</f>
        <v>0</v>
      </c>
      <c r="J69" s="51"/>
      <c r="K69" s="37"/>
    </row>
    <row r="70" spans="1:11" s="50" customFormat="1" ht="13.2" x14ac:dyDescent="0.25">
      <c r="A70" s="44"/>
      <c r="B70" s="45"/>
      <c r="C70" s="46" t="s">
        <v>16</v>
      </c>
      <c r="D70" s="45"/>
      <c r="E70" s="47"/>
      <c r="F70" s="47"/>
      <c r="G70" s="48"/>
      <c r="H70" s="48"/>
      <c r="I70" s="48">
        <f t="shared" si="10"/>
        <v>0</v>
      </c>
      <c r="J70" s="51"/>
      <c r="K70" s="37"/>
    </row>
    <row r="71" spans="1:11" s="50" customFormat="1" ht="13.2" x14ac:dyDescent="0.25">
      <c r="A71" s="44"/>
      <c r="B71" s="45"/>
      <c r="C71" s="46" t="s">
        <v>16</v>
      </c>
      <c r="D71" s="45"/>
      <c r="E71" s="47"/>
      <c r="F71" s="47"/>
      <c r="G71" s="48"/>
      <c r="H71" s="48"/>
      <c r="I71" s="48">
        <f t="shared" si="10"/>
        <v>0</v>
      </c>
      <c r="J71" s="51"/>
      <c r="K71" s="37"/>
    </row>
    <row r="72" spans="1:11" s="50" customFormat="1" ht="13.2" x14ac:dyDescent="0.25">
      <c r="A72" s="44"/>
      <c r="B72" s="45"/>
      <c r="C72" s="46" t="s">
        <v>16</v>
      </c>
      <c r="D72" s="45"/>
      <c r="E72" s="47"/>
      <c r="F72" s="47"/>
      <c r="G72" s="48"/>
      <c r="H72" s="48"/>
      <c r="I72" s="48">
        <f t="shared" si="10"/>
        <v>0</v>
      </c>
      <c r="J72" s="51"/>
      <c r="K72" s="37"/>
    </row>
    <row r="73" spans="1:11" s="50" customFormat="1" ht="13.2" x14ac:dyDescent="0.25">
      <c r="A73" s="44"/>
      <c r="B73" s="45"/>
      <c r="C73" s="46" t="s">
        <v>16</v>
      </c>
      <c r="D73" s="45"/>
      <c r="E73" s="47"/>
      <c r="F73" s="47"/>
      <c r="G73" s="48"/>
      <c r="H73" s="48"/>
      <c r="I73" s="48">
        <f t="shared" si="10"/>
        <v>0</v>
      </c>
      <c r="J73" s="51"/>
      <c r="K73" s="37"/>
    </row>
    <row r="74" spans="1:11" s="50" customFormat="1" ht="13.2" x14ac:dyDescent="0.25">
      <c r="A74" s="44"/>
      <c r="B74" s="45"/>
      <c r="C74" s="46" t="s">
        <v>16</v>
      </c>
      <c r="D74" s="45"/>
      <c r="E74" s="47"/>
      <c r="F74" s="47"/>
      <c r="G74" s="48"/>
      <c r="H74" s="48"/>
      <c r="I74" s="48">
        <f t="shared" si="10"/>
        <v>0</v>
      </c>
      <c r="J74" s="51"/>
      <c r="K74" s="37"/>
    </row>
    <row r="75" spans="1:11" s="50" customFormat="1" ht="13.2" x14ac:dyDescent="0.25">
      <c r="A75" s="44"/>
      <c r="B75" s="45"/>
      <c r="C75" s="46" t="s">
        <v>16</v>
      </c>
      <c r="D75" s="45"/>
      <c r="E75" s="47"/>
      <c r="F75" s="47"/>
      <c r="G75" s="48"/>
      <c r="H75" s="48"/>
      <c r="I75" s="48">
        <f t="shared" si="10"/>
        <v>0</v>
      </c>
      <c r="J75" s="51"/>
      <c r="K75" s="37"/>
    </row>
    <row r="76" spans="1:11" s="50" customFormat="1" ht="13.2" x14ac:dyDescent="0.25">
      <c r="A76" s="44"/>
      <c r="B76" s="45"/>
      <c r="C76" s="46" t="s">
        <v>16</v>
      </c>
      <c r="D76" s="45"/>
      <c r="E76" s="47"/>
      <c r="F76" s="47"/>
      <c r="G76" s="48"/>
      <c r="H76" s="48"/>
      <c r="I76" s="48">
        <f t="shared" si="10"/>
        <v>0</v>
      </c>
      <c r="J76" s="51"/>
      <c r="K76" s="37"/>
    </row>
    <row r="77" spans="1:11" s="50" customFormat="1" ht="13.2" x14ac:dyDescent="0.25">
      <c r="A77" s="44"/>
      <c r="B77" s="45"/>
      <c r="C77" s="46" t="s">
        <v>16</v>
      </c>
      <c r="D77" s="45"/>
      <c r="E77" s="47"/>
      <c r="F77" s="47"/>
      <c r="G77" s="48"/>
      <c r="H77" s="48"/>
      <c r="I77" s="48">
        <f t="shared" si="10"/>
        <v>0</v>
      </c>
      <c r="J77" s="51"/>
      <c r="K77" s="37"/>
    </row>
    <row r="78" spans="1:11" s="50" customFormat="1" ht="13.2" x14ac:dyDescent="0.25">
      <c r="A78" s="44"/>
      <c r="B78" s="45"/>
      <c r="C78" s="46" t="s">
        <v>16</v>
      </c>
      <c r="D78" s="45"/>
      <c r="E78" s="47"/>
      <c r="F78" s="47"/>
      <c r="G78" s="48"/>
      <c r="H78" s="48"/>
      <c r="I78" s="48">
        <f t="shared" si="9"/>
        <v>0</v>
      </c>
      <c r="J78" s="51"/>
      <c r="K78" s="37"/>
    </row>
    <row r="79" spans="1:11" ht="13.2" x14ac:dyDescent="0.25">
      <c r="A79" s="13"/>
      <c r="B79" s="15"/>
      <c r="C79" s="15"/>
      <c r="D79" s="15"/>
      <c r="E79" s="15" t="s">
        <v>17</v>
      </c>
      <c r="F79" s="15"/>
      <c r="G79" s="18">
        <f t="shared" ref="G79:H79" si="11">SUM(G60:G78)</f>
        <v>0</v>
      </c>
      <c r="H79" s="18">
        <f t="shared" si="11"/>
        <v>0</v>
      </c>
      <c r="I79" s="18">
        <f t="shared" si="9"/>
        <v>0</v>
      </c>
      <c r="J79" s="19"/>
      <c r="K79" s="38"/>
    </row>
    <row r="80" spans="1:11" ht="18.75" customHeight="1" x14ac:dyDescent="0.25">
      <c r="A80" s="75" t="s">
        <v>21</v>
      </c>
      <c r="B80" s="56"/>
      <c r="C80" s="56"/>
      <c r="D80" s="56"/>
      <c r="E80" s="56"/>
      <c r="F80" s="56"/>
      <c r="G80" s="56"/>
      <c r="H80" s="56"/>
      <c r="I80" s="56"/>
      <c r="J80" s="56"/>
      <c r="K80" s="57"/>
    </row>
    <row r="81" spans="1:11" ht="13.2" x14ac:dyDescent="0.25">
      <c r="A81" s="23" t="s">
        <v>12</v>
      </c>
      <c r="B81" s="59" t="s">
        <v>13</v>
      </c>
      <c r="C81" s="56"/>
      <c r="D81" s="56"/>
      <c r="E81" s="56"/>
      <c r="F81" s="56"/>
      <c r="G81" s="56"/>
      <c r="H81" s="56"/>
      <c r="I81" s="56"/>
      <c r="J81" s="56"/>
      <c r="K81" s="57"/>
    </row>
    <row r="82" spans="1:11" ht="27.75" customHeight="1" x14ac:dyDescent="0.25">
      <c r="A82" s="24" t="s">
        <v>14</v>
      </c>
      <c r="B82" s="59" t="s">
        <v>15</v>
      </c>
      <c r="C82" s="56"/>
      <c r="D82" s="56"/>
      <c r="E82" s="56"/>
      <c r="F82" s="56"/>
      <c r="G82" s="56"/>
      <c r="H82" s="56"/>
      <c r="I82" s="56"/>
      <c r="J82" s="56"/>
      <c r="K82" s="57"/>
    </row>
    <row r="83" spans="1:11" s="50" customFormat="1" ht="13.2" x14ac:dyDescent="0.25">
      <c r="A83" s="44"/>
      <c r="B83" s="45"/>
      <c r="C83" s="46" t="s">
        <v>16</v>
      </c>
      <c r="D83" s="45"/>
      <c r="E83" s="47"/>
      <c r="F83" s="47"/>
      <c r="G83" s="48"/>
      <c r="H83" s="48"/>
      <c r="I83" s="48">
        <f t="shared" ref="I83:I100" si="12">H83-G83</f>
        <v>0</v>
      </c>
      <c r="J83" s="51"/>
      <c r="K83" s="37"/>
    </row>
    <row r="84" spans="1:11" s="50" customFormat="1" ht="13.2" x14ac:dyDescent="0.25">
      <c r="A84" s="44"/>
      <c r="B84" s="45"/>
      <c r="C84" s="46" t="s">
        <v>16</v>
      </c>
      <c r="D84" s="45"/>
      <c r="E84" s="47"/>
      <c r="F84" s="47"/>
      <c r="G84" s="48"/>
      <c r="H84" s="48"/>
      <c r="I84" s="48">
        <f t="shared" si="12"/>
        <v>0</v>
      </c>
      <c r="J84" s="51"/>
      <c r="K84" s="37"/>
    </row>
    <row r="85" spans="1:11" s="50" customFormat="1" ht="13.2" x14ac:dyDescent="0.25">
      <c r="A85" s="44"/>
      <c r="B85" s="45"/>
      <c r="C85" s="46" t="s">
        <v>16</v>
      </c>
      <c r="D85" s="45"/>
      <c r="E85" s="47"/>
      <c r="F85" s="47"/>
      <c r="G85" s="48"/>
      <c r="H85" s="48"/>
      <c r="I85" s="48">
        <f t="shared" si="12"/>
        <v>0</v>
      </c>
      <c r="J85" s="51"/>
      <c r="K85" s="37"/>
    </row>
    <row r="86" spans="1:11" s="50" customFormat="1" ht="13.2" x14ac:dyDescent="0.25">
      <c r="A86" s="44"/>
      <c r="B86" s="45"/>
      <c r="C86" s="46" t="s">
        <v>16</v>
      </c>
      <c r="D86" s="45"/>
      <c r="E86" s="47"/>
      <c r="F86" s="47"/>
      <c r="G86" s="48"/>
      <c r="H86" s="48"/>
      <c r="I86" s="48">
        <f t="shared" si="12"/>
        <v>0</v>
      </c>
      <c r="J86" s="51"/>
      <c r="K86" s="37"/>
    </row>
    <row r="87" spans="1:11" s="50" customFormat="1" ht="13.2" x14ac:dyDescent="0.25">
      <c r="A87" s="44"/>
      <c r="B87" s="45"/>
      <c r="C87" s="46" t="s">
        <v>16</v>
      </c>
      <c r="D87" s="45"/>
      <c r="E87" s="47"/>
      <c r="F87" s="47"/>
      <c r="G87" s="48"/>
      <c r="H87" s="48"/>
      <c r="I87" s="48">
        <f t="shared" si="12"/>
        <v>0</v>
      </c>
      <c r="J87" s="51"/>
      <c r="K87" s="37"/>
    </row>
    <row r="88" spans="1:11" s="50" customFormat="1" ht="13.2" x14ac:dyDescent="0.25">
      <c r="A88" s="44"/>
      <c r="B88" s="45"/>
      <c r="C88" s="46" t="s">
        <v>16</v>
      </c>
      <c r="D88" s="45"/>
      <c r="E88" s="47"/>
      <c r="F88" s="47"/>
      <c r="G88" s="48"/>
      <c r="H88" s="48"/>
      <c r="I88" s="48">
        <f t="shared" si="12"/>
        <v>0</v>
      </c>
      <c r="J88" s="51"/>
      <c r="K88" s="37"/>
    </row>
    <row r="89" spans="1:11" s="50" customFormat="1" ht="13.2" x14ac:dyDescent="0.25">
      <c r="A89" s="44"/>
      <c r="B89" s="45"/>
      <c r="C89" s="46" t="s">
        <v>16</v>
      </c>
      <c r="D89" s="45"/>
      <c r="E89" s="47"/>
      <c r="F89" s="47"/>
      <c r="G89" s="48"/>
      <c r="H89" s="48"/>
      <c r="I89" s="48">
        <f t="shared" si="12"/>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ref="I91:I97" si="13">H91-G91</f>
        <v>0</v>
      </c>
      <c r="J91" s="51"/>
      <c r="K91" s="37"/>
    </row>
    <row r="92" spans="1:11" s="50" customFormat="1" ht="13.2" x14ac:dyDescent="0.25">
      <c r="A92" s="44"/>
      <c r="B92" s="45"/>
      <c r="C92" s="46" t="s">
        <v>16</v>
      </c>
      <c r="D92" s="45"/>
      <c r="E92" s="47"/>
      <c r="F92" s="47"/>
      <c r="G92" s="48"/>
      <c r="H92" s="48"/>
      <c r="I92" s="48">
        <f t="shared" si="13"/>
        <v>0</v>
      </c>
      <c r="J92" s="51"/>
      <c r="K92" s="37"/>
    </row>
    <row r="93" spans="1:11" s="50" customFormat="1" ht="13.2" x14ac:dyDescent="0.25">
      <c r="A93" s="44"/>
      <c r="B93" s="45"/>
      <c r="C93" s="46" t="s">
        <v>16</v>
      </c>
      <c r="D93" s="45"/>
      <c r="E93" s="47"/>
      <c r="F93" s="47"/>
      <c r="G93" s="48"/>
      <c r="H93" s="48"/>
      <c r="I93" s="48">
        <f t="shared" si="13"/>
        <v>0</v>
      </c>
      <c r="J93" s="51"/>
      <c r="K93" s="37"/>
    </row>
    <row r="94" spans="1:11" s="50" customFormat="1" ht="13.2" x14ac:dyDescent="0.25">
      <c r="A94" s="44"/>
      <c r="B94" s="45"/>
      <c r="C94" s="46" t="s">
        <v>16</v>
      </c>
      <c r="D94" s="45"/>
      <c r="E94" s="47"/>
      <c r="F94" s="47"/>
      <c r="G94" s="48"/>
      <c r="H94" s="48"/>
      <c r="I94" s="48">
        <f t="shared" si="13"/>
        <v>0</v>
      </c>
      <c r="J94" s="51"/>
      <c r="K94" s="37"/>
    </row>
    <row r="95" spans="1:11" s="50" customFormat="1" ht="13.2" x14ac:dyDescent="0.25">
      <c r="A95" s="44"/>
      <c r="B95" s="45"/>
      <c r="C95" s="46" t="s">
        <v>16</v>
      </c>
      <c r="D95" s="45"/>
      <c r="E95" s="47"/>
      <c r="F95" s="47"/>
      <c r="G95" s="48"/>
      <c r="H95" s="48"/>
      <c r="I95" s="48">
        <f t="shared" si="13"/>
        <v>0</v>
      </c>
      <c r="J95" s="51"/>
      <c r="K95" s="37"/>
    </row>
    <row r="96" spans="1:11" s="50" customFormat="1" ht="13.2" x14ac:dyDescent="0.25">
      <c r="A96" s="44"/>
      <c r="B96" s="45"/>
      <c r="C96" s="46" t="s">
        <v>16</v>
      </c>
      <c r="D96" s="45"/>
      <c r="E96" s="47"/>
      <c r="F96" s="47"/>
      <c r="G96" s="48"/>
      <c r="H96" s="48"/>
      <c r="I96" s="48">
        <f t="shared" si="13"/>
        <v>0</v>
      </c>
      <c r="J96" s="51"/>
      <c r="K96" s="37"/>
    </row>
    <row r="97" spans="1:11" s="50" customFormat="1" ht="13.2" x14ac:dyDescent="0.25">
      <c r="A97" s="44"/>
      <c r="B97" s="45"/>
      <c r="C97" s="46" t="s">
        <v>16</v>
      </c>
      <c r="D97" s="45"/>
      <c r="E97" s="47"/>
      <c r="F97" s="47"/>
      <c r="G97" s="48"/>
      <c r="H97" s="48"/>
      <c r="I97" s="48">
        <f t="shared" si="13"/>
        <v>0</v>
      </c>
      <c r="J97" s="51"/>
      <c r="K97" s="37"/>
    </row>
    <row r="98" spans="1:11" s="50" customFormat="1" ht="13.2" x14ac:dyDescent="0.25">
      <c r="A98" s="44"/>
      <c r="B98" s="45"/>
      <c r="C98" s="46" t="s">
        <v>16</v>
      </c>
      <c r="D98" s="45"/>
      <c r="E98" s="47"/>
      <c r="F98" s="47"/>
      <c r="G98" s="48"/>
      <c r="H98" s="48"/>
      <c r="I98" s="48">
        <f t="shared" si="12"/>
        <v>0</v>
      </c>
      <c r="J98" s="51"/>
      <c r="K98" s="37"/>
    </row>
    <row r="99" spans="1:11" s="50" customFormat="1" ht="13.2" x14ac:dyDescent="0.25">
      <c r="A99" s="44"/>
      <c r="B99" s="45"/>
      <c r="C99" s="46" t="s">
        <v>16</v>
      </c>
      <c r="D99" s="45"/>
      <c r="E99" s="47"/>
      <c r="F99" s="47"/>
      <c r="G99" s="48"/>
      <c r="H99" s="48"/>
      <c r="I99" s="48">
        <f t="shared" si="12"/>
        <v>0</v>
      </c>
      <c r="J99" s="51"/>
      <c r="K99" s="37"/>
    </row>
    <row r="100" spans="1:11" ht="13.2" x14ac:dyDescent="0.25">
      <c r="A100" s="13"/>
      <c r="B100" s="15"/>
      <c r="C100" s="15"/>
      <c r="D100" s="15"/>
      <c r="E100" s="15" t="s">
        <v>17</v>
      </c>
      <c r="F100" s="15"/>
      <c r="G100" s="18">
        <f t="shared" ref="G100:H100" si="14">SUM(G83:G99)</f>
        <v>0</v>
      </c>
      <c r="H100" s="18">
        <f t="shared" si="14"/>
        <v>0</v>
      </c>
      <c r="I100" s="18">
        <f t="shared" si="12"/>
        <v>0</v>
      </c>
      <c r="J100" s="19"/>
      <c r="K100" s="38"/>
    </row>
    <row r="101" spans="1:11" ht="18.75" customHeight="1" x14ac:dyDescent="0.25">
      <c r="A101" s="60" t="s">
        <v>22</v>
      </c>
      <c r="B101" s="56"/>
      <c r="C101" s="56"/>
      <c r="D101" s="56"/>
      <c r="E101" s="56"/>
      <c r="F101" s="56"/>
      <c r="G101" s="56"/>
      <c r="H101" s="56"/>
      <c r="I101" s="56"/>
      <c r="J101" s="56"/>
      <c r="K101" s="57"/>
    </row>
    <row r="102" spans="1:11" ht="13.2" x14ac:dyDescent="0.25">
      <c r="A102" s="25" t="s">
        <v>12</v>
      </c>
      <c r="B102" s="61" t="s">
        <v>13</v>
      </c>
      <c r="C102" s="56"/>
      <c r="D102" s="56"/>
      <c r="E102" s="56"/>
      <c r="F102" s="56"/>
      <c r="G102" s="56"/>
      <c r="H102" s="56"/>
      <c r="I102" s="56"/>
      <c r="J102" s="56"/>
      <c r="K102" s="57"/>
    </row>
    <row r="103" spans="1:11" ht="27.75" customHeight="1" x14ac:dyDescent="0.25">
      <c r="A103" s="26" t="s">
        <v>14</v>
      </c>
      <c r="B103" s="61" t="s">
        <v>15</v>
      </c>
      <c r="C103" s="56"/>
      <c r="D103" s="56"/>
      <c r="E103" s="56"/>
      <c r="F103" s="56"/>
      <c r="G103" s="56"/>
      <c r="H103" s="56"/>
      <c r="I103" s="56"/>
      <c r="J103" s="56"/>
      <c r="K103" s="57"/>
    </row>
    <row r="104" spans="1:11" s="50" customFormat="1" ht="13.2" x14ac:dyDescent="0.25">
      <c r="A104" s="44"/>
      <c r="B104" s="45"/>
      <c r="C104" s="46" t="s">
        <v>16</v>
      </c>
      <c r="D104" s="45"/>
      <c r="E104" s="47"/>
      <c r="F104" s="47"/>
      <c r="G104" s="48"/>
      <c r="H104" s="48"/>
      <c r="I104" s="48">
        <f t="shared" ref="I104:I122" si="15">H104-G104</f>
        <v>0</v>
      </c>
      <c r="J104" s="51"/>
      <c r="K104" s="37"/>
    </row>
    <row r="105" spans="1:11" s="50" customFormat="1" ht="13.2" x14ac:dyDescent="0.25">
      <c r="A105" s="44"/>
      <c r="B105" s="45"/>
      <c r="C105" s="46" t="s">
        <v>16</v>
      </c>
      <c r="D105" s="45"/>
      <c r="E105" s="47"/>
      <c r="F105" s="47"/>
      <c r="G105" s="48"/>
      <c r="H105" s="48"/>
      <c r="I105" s="48">
        <f t="shared" si="15"/>
        <v>0</v>
      </c>
      <c r="J105" s="51"/>
      <c r="K105" s="37"/>
    </row>
    <row r="106" spans="1:11" s="50" customFormat="1" ht="13.2" x14ac:dyDescent="0.25">
      <c r="A106" s="44"/>
      <c r="B106" s="45"/>
      <c r="C106" s="46" t="s">
        <v>16</v>
      </c>
      <c r="D106" s="45"/>
      <c r="E106" s="47"/>
      <c r="F106" s="47"/>
      <c r="G106" s="48"/>
      <c r="H106" s="48"/>
      <c r="I106" s="48">
        <f t="shared" si="15"/>
        <v>0</v>
      </c>
      <c r="J106" s="51"/>
      <c r="K106" s="37"/>
    </row>
    <row r="107" spans="1:11" s="50" customFormat="1" ht="13.2" x14ac:dyDescent="0.25">
      <c r="A107" s="44"/>
      <c r="B107" s="45"/>
      <c r="C107" s="46" t="s">
        <v>16</v>
      </c>
      <c r="D107" s="45"/>
      <c r="E107" s="47"/>
      <c r="F107" s="47"/>
      <c r="G107" s="48"/>
      <c r="H107" s="48"/>
      <c r="I107" s="48">
        <f t="shared" si="15"/>
        <v>0</v>
      </c>
      <c r="J107" s="51"/>
      <c r="K107" s="37"/>
    </row>
    <row r="108" spans="1:11" s="50" customFormat="1" ht="13.2" x14ac:dyDescent="0.25">
      <c r="A108" s="44"/>
      <c r="B108" s="45"/>
      <c r="C108" s="46" t="s">
        <v>16</v>
      </c>
      <c r="D108" s="45"/>
      <c r="E108" s="47"/>
      <c r="F108" s="47"/>
      <c r="G108" s="48"/>
      <c r="H108" s="48"/>
      <c r="I108" s="48">
        <f t="shared" si="15"/>
        <v>0</v>
      </c>
      <c r="J108" s="51"/>
      <c r="K108" s="37"/>
    </row>
    <row r="109" spans="1:11" s="50" customFormat="1" ht="13.2" x14ac:dyDescent="0.25">
      <c r="A109" s="44"/>
      <c r="B109" s="45"/>
      <c r="C109" s="46" t="s">
        <v>16</v>
      </c>
      <c r="D109" s="45"/>
      <c r="E109" s="47"/>
      <c r="F109" s="47"/>
      <c r="G109" s="48"/>
      <c r="H109" s="48"/>
      <c r="I109" s="48">
        <f t="shared" si="15"/>
        <v>0</v>
      </c>
      <c r="J109" s="51"/>
      <c r="K109" s="37"/>
    </row>
    <row r="110" spans="1:11" s="50" customFormat="1" ht="13.2" x14ac:dyDescent="0.25">
      <c r="A110" s="44"/>
      <c r="B110" s="45"/>
      <c r="C110" s="46" t="s">
        <v>16</v>
      </c>
      <c r="D110" s="45"/>
      <c r="E110" s="47"/>
      <c r="F110" s="47"/>
      <c r="G110" s="48"/>
      <c r="H110" s="48"/>
      <c r="I110" s="48">
        <f t="shared" si="15"/>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ref="I112:I119" si="16">H112-G112</f>
        <v>0</v>
      </c>
      <c r="J112" s="51"/>
      <c r="K112" s="37"/>
    </row>
    <row r="113" spans="1:11" s="50" customFormat="1" ht="13.2" x14ac:dyDescent="0.25">
      <c r="A113" s="44"/>
      <c r="B113" s="45"/>
      <c r="C113" s="46" t="s">
        <v>16</v>
      </c>
      <c r="D113" s="45"/>
      <c r="E113" s="47"/>
      <c r="F113" s="47"/>
      <c r="G113" s="48"/>
      <c r="H113" s="48"/>
      <c r="I113" s="48">
        <f t="shared" si="16"/>
        <v>0</v>
      </c>
      <c r="J113" s="51"/>
      <c r="K113" s="37"/>
    </row>
    <row r="114" spans="1:11" s="50" customFormat="1" ht="13.2" x14ac:dyDescent="0.25">
      <c r="A114" s="44"/>
      <c r="B114" s="45"/>
      <c r="C114" s="46" t="s">
        <v>16</v>
      </c>
      <c r="D114" s="45"/>
      <c r="E114" s="47"/>
      <c r="F114" s="47"/>
      <c r="G114" s="48"/>
      <c r="H114" s="48"/>
      <c r="I114" s="48">
        <f t="shared" si="16"/>
        <v>0</v>
      </c>
      <c r="J114" s="51"/>
      <c r="K114" s="37"/>
    </row>
    <row r="115" spans="1:11" s="50" customFormat="1" ht="13.2" x14ac:dyDescent="0.25">
      <c r="A115" s="44"/>
      <c r="B115" s="45"/>
      <c r="C115" s="46" t="s">
        <v>16</v>
      </c>
      <c r="D115" s="45"/>
      <c r="E115" s="47"/>
      <c r="F115" s="47"/>
      <c r="G115" s="48"/>
      <c r="H115" s="48"/>
      <c r="I115" s="48">
        <f t="shared" si="16"/>
        <v>0</v>
      </c>
      <c r="J115" s="51"/>
      <c r="K115" s="37"/>
    </row>
    <row r="116" spans="1:11" s="50" customFormat="1" ht="13.2" x14ac:dyDescent="0.25">
      <c r="A116" s="44"/>
      <c r="B116" s="45"/>
      <c r="C116" s="46" t="s">
        <v>16</v>
      </c>
      <c r="D116" s="45"/>
      <c r="E116" s="47"/>
      <c r="F116" s="47"/>
      <c r="G116" s="48"/>
      <c r="H116" s="48"/>
      <c r="I116" s="48">
        <f t="shared" si="16"/>
        <v>0</v>
      </c>
      <c r="J116" s="51"/>
      <c r="K116" s="37"/>
    </row>
    <row r="117" spans="1:11" s="50" customFormat="1" ht="13.2" x14ac:dyDescent="0.25">
      <c r="A117" s="44"/>
      <c r="B117" s="45"/>
      <c r="C117" s="46" t="s">
        <v>16</v>
      </c>
      <c r="D117" s="45"/>
      <c r="E117" s="47"/>
      <c r="F117" s="47"/>
      <c r="G117" s="48"/>
      <c r="H117" s="48"/>
      <c r="I117" s="48">
        <f t="shared" si="16"/>
        <v>0</v>
      </c>
      <c r="J117" s="51"/>
      <c r="K117" s="37"/>
    </row>
    <row r="118" spans="1:11" s="50" customFormat="1" ht="13.2" x14ac:dyDescent="0.25">
      <c r="A118" s="44"/>
      <c r="B118" s="45"/>
      <c r="C118" s="46" t="s">
        <v>16</v>
      </c>
      <c r="D118" s="45"/>
      <c r="E118" s="47"/>
      <c r="F118" s="47"/>
      <c r="G118" s="48"/>
      <c r="H118" s="48"/>
      <c r="I118" s="48">
        <f t="shared" si="16"/>
        <v>0</v>
      </c>
      <c r="J118" s="51"/>
      <c r="K118" s="37"/>
    </row>
    <row r="119" spans="1:11" s="50" customFormat="1" ht="13.2" x14ac:dyDescent="0.25">
      <c r="A119" s="44"/>
      <c r="B119" s="45"/>
      <c r="C119" s="46" t="s">
        <v>16</v>
      </c>
      <c r="D119" s="45"/>
      <c r="E119" s="47"/>
      <c r="F119" s="47"/>
      <c r="G119" s="48"/>
      <c r="H119" s="48"/>
      <c r="I119" s="48">
        <f t="shared" si="16"/>
        <v>0</v>
      </c>
      <c r="J119" s="51"/>
      <c r="K119" s="37"/>
    </row>
    <row r="120" spans="1:11" s="50" customFormat="1" ht="13.2" x14ac:dyDescent="0.25">
      <c r="A120" s="44"/>
      <c r="B120" s="45"/>
      <c r="C120" s="46" t="s">
        <v>16</v>
      </c>
      <c r="D120" s="45"/>
      <c r="E120" s="47"/>
      <c r="F120" s="47"/>
      <c r="G120" s="48"/>
      <c r="H120" s="48"/>
      <c r="I120" s="48">
        <f t="shared" si="15"/>
        <v>0</v>
      </c>
      <c r="J120" s="51"/>
      <c r="K120" s="37"/>
    </row>
    <row r="121" spans="1:11" s="50" customFormat="1" ht="13.2" x14ac:dyDescent="0.25">
      <c r="A121" s="44"/>
      <c r="B121" s="45"/>
      <c r="C121" s="46" t="s">
        <v>16</v>
      </c>
      <c r="D121" s="45"/>
      <c r="E121" s="47"/>
      <c r="F121" s="47"/>
      <c r="G121" s="48"/>
      <c r="H121" s="48"/>
      <c r="I121" s="48">
        <f t="shared" si="15"/>
        <v>0</v>
      </c>
      <c r="J121" s="51"/>
      <c r="K121" s="37"/>
    </row>
    <row r="122" spans="1:11" ht="13.2" x14ac:dyDescent="0.25">
      <c r="A122" s="13"/>
      <c r="B122" s="15"/>
      <c r="C122" s="15"/>
      <c r="D122" s="15"/>
      <c r="E122" s="15" t="s">
        <v>17</v>
      </c>
      <c r="F122" s="15"/>
      <c r="G122" s="18">
        <f t="shared" ref="G122:H122" si="17">SUM(G104:G121)</f>
        <v>0</v>
      </c>
      <c r="H122" s="18">
        <f t="shared" si="17"/>
        <v>0</v>
      </c>
      <c r="I122" s="18">
        <f t="shared" si="15"/>
        <v>0</v>
      </c>
      <c r="J122" s="19"/>
      <c r="K122" s="38"/>
    </row>
    <row r="123" spans="1:11" ht="18.75" customHeight="1" x14ac:dyDescent="0.25">
      <c r="A123" s="62" t="s">
        <v>23</v>
      </c>
      <c r="B123" s="56"/>
      <c r="C123" s="56"/>
      <c r="D123" s="56"/>
      <c r="E123" s="56"/>
      <c r="F123" s="56"/>
      <c r="G123" s="56"/>
      <c r="H123" s="56"/>
      <c r="I123" s="56"/>
      <c r="J123" s="56"/>
      <c r="K123" s="57"/>
    </row>
    <row r="124" spans="1:11" ht="13.2" x14ac:dyDescent="0.25">
      <c r="A124" s="27" t="s">
        <v>12</v>
      </c>
      <c r="B124" s="55" t="s">
        <v>13</v>
      </c>
      <c r="C124" s="56"/>
      <c r="D124" s="56"/>
      <c r="E124" s="56"/>
      <c r="F124" s="56"/>
      <c r="G124" s="56"/>
      <c r="H124" s="56"/>
      <c r="I124" s="56"/>
      <c r="J124" s="56"/>
      <c r="K124" s="57"/>
    </row>
    <row r="125" spans="1:11" ht="27.75" customHeight="1" x14ac:dyDescent="0.25">
      <c r="A125" s="28" t="s">
        <v>14</v>
      </c>
      <c r="B125" s="55" t="s">
        <v>15</v>
      </c>
      <c r="C125" s="56"/>
      <c r="D125" s="56"/>
      <c r="E125" s="56"/>
      <c r="F125" s="56"/>
      <c r="G125" s="56"/>
      <c r="H125" s="56"/>
      <c r="I125" s="56"/>
      <c r="J125" s="56"/>
      <c r="K125" s="57"/>
    </row>
    <row r="126" spans="1:11" s="50" customFormat="1" ht="13.2" x14ac:dyDescent="0.25">
      <c r="A126" s="44"/>
      <c r="B126" s="45"/>
      <c r="C126" s="46" t="s">
        <v>16</v>
      </c>
      <c r="D126" s="45"/>
      <c r="E126" s="47"/>
      <c r="F126" s="47"/>
      <c r="G126" s="48"/>
      <c r="H126" s="48"/>
      <c r="I126" s="48">
        <f t="shared" ref="I126:I144" si="18">H126-G126</f>
        <v>0</v>
      </c>
      <c r="J126" s="51"/>
      <c r="K126" s="37"/>
    </row>
    <row r="127" spans="1:11" s="50" customFormat="1" ht="13.2" x14ac:dyDescent="0.25">
      <c r="A127" s="44"/>
      <c r="B127" s="45"/>
      <c r="C127" s="46" t="s">
        <v>16</v>
      </c>
      <c r="D127" s="45"/>
      <c r="E127" s="47"/>
      <c r="F127" s="47"/>
      <c r="G127" s="48"/>
      <c r="H127" s="48"/>
      <c r="I127" s="48">
        <f t="shared" si="18"/>
        <v>0</v>
      </c>
      <c r="J127" s="51"/>
      <c r="K127" s="37"/>
    </row>
    <row r="128" spans="1:11" s="50" customFormat="1" ht="13.2" x14ac:dyDescent="0.25">
      <c r="A128" s="44"/>
      <c r="B128" s="45"/>
      <c r="C128" s="46" t="s">
        <v>16</v>
      </c>
      <c r="D128" s="45"/>
      <c r="E128" s="47"/>
      <c r="F128" s="47"/>
      <c r="G128" s="48"/>
      <c r="H128" s="48"/>
      <c r="I128" s="48">
        <f t="shared" si="18"/>
        <v>0</v>
      </c>
      <c r="J128" s="51"/>
      <c r="K128" s="37"/>
    </row>
    <row r="129" spans="1:11" s="50" customFormat="1" ht="13.2" x14ac:dyDescent="0.25">
      <c r="A129" s="44"/>
      <c r="B129" s="45"/>
      <c r="C129" s="46" t="s">
        <v>16</v>
      </c>
      <c r="D129" s="45"/>
      <c r="E129" s="47"/>
      <c r="F129" s="47"/>
      <c r="G129" s="48"/>
      <c r="H129" s="48"/>
      <c r="I129" s="48">
        <f t="shared" si="18"/>
        <v>0</v>
      </c>
      <c r="J129" s="51"/>
      <c r="K129" s="37"/>
    </row>
    <row r="130" spans="1:11" s="50" customFormat="1" ht="13.2" x14ac:dyDescent="0.25">
      <c r="A130" s="44"/>
      <c r="B130" s="45"/>
      <c r="C130" s="46" t="s">
        <v>16</v>
      </c>
      <c r="D130" s="45"/>
      <c r="E130" s="47"/>
      <c r="F130" s="47"/>
      <c r="G130" s="48"/>
      <c r="H130" s="48"/>
      <c r="I130" s="48">
        <f t="shared" si="18"/>
        <v>0</v>
      </c>
      <c r="J130" s="51"/>
      <c r="K130" s="37"/>
    </row>
    <row r="131" spans="1:11" s="50" customFormat="1" ht="13.2" x14ac:dyDescent="0.25">
      <c r="A131" s="44"/>
      <c r="B131" s="45"/>
      <c r="C131" s="46" t="s">
        <v>16</v>
      </c>
      <c r="D131" s="45"/>
      <c r="E131" s="47"/>
      <c r="F131" s="47"/>
      <c r="G131" s="48"/>
      <c r="H131" s="48"/>
      <c r="I131" s="48">
        <f t="shared" si="18"/>
        <v>0</v>
      </c>
      <c r="J131" s="51"/>
      <c r="K131" s="37"/>
    </row>
    <row r="132" spans="1:11" s="50" customFormat="1" ht="13.2" x14ac:dyDescent="0.25">
      <c r="A132" s="44"/>
      <c r="B132" s="45"/>
      <c r="C132" s="46" t="s">
        <v>16</v>
      </c>
      <c r="D132" s="45"/>
      <c r="E132" s="47"/>
      <c r="F132" s="47"/>
      <c r="G132" s="48"/>
      <c r="H132" s="48"/>
      <c r="I132" s="48">
        <f t="shared" si="18"/>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ref="I134:I141" si="19">H134-G134</f>
        <v>0</v>
      </c>
      <c r="J134" s="51"/>
      <c r="K134" s="37"/>
    </row>
    <row r="135" spans="1:11" s="50" customFormat="1" ht="13.2" x14ac:dyDescent="0.25">
      <c r="A135" s="44"/>
      <c r="B135" s="45"/>
      <c r="C135" s="46" t="s">
        <v>16</v>
      </c>
      <c r="D135" s="45"/>
      <c r="E135" s="47"/>
      <c r="F135" s="47"/>
      <c r="G135" s="48"/>
      <c r="H135" s="48"/>
      <c r="I135" s="48">
        <f t="shared" si="19"/>
        <v>0</v>
      </c>
      <c r="J135" s="51"/>
      <c r="K135" s="37"/>
    </row>
    <row r="136" spans="1:11" s="50" customFormat="1" ht="13.2" x14ac:dyDescent="0.25">
      <c r="A136" s="44"/>
      <c r="B136" s="45"/>
      <c r="C136" s="46" t="s">
        <v>16</v>
      </c>
      <c r="D136" s="45"/>
      <c r="E136" s="47"/>
      <c r="F136" s="47"/>
      <c r="G136" s="48"/>
      <c r="H136" s="48"/>
      <c r="I136" s="48">
        <f t="shared" si="19"/>
        <v>0</v>
      </c>
      <c r="J136" s="51"/>
      <c r="K136" s="37"/>
    </row>
    <row r="137" spans="1:11" s="50" customFormat="1" ht="13.2" x14ac:dyDescent="0.25">
      <c r="A137" s="44"/>
      <c r="B137" s="45"/>
      <c r="C137" s="46" t="s">
        <v>16</v>
      </c>
      <c r="D137" s="45"/>
      <c r="E137" s="47"/>
      <c r="F137" s="47"/>
      <c r="G137" s="48"/>
      <c r="H137" s="48"/>
      <c r="I137" s="48">
        <f t="shared" si="19"/>
        <v>0</v>
      </c>
      <c r="J137" s="51"/>
      <c r="K137" s="37"/>
    </row>
    <row r="138" spans="1:11" s="50" customFormat="1" ht="13.2" x14ac:dyDescent="0.25">
      <c r="A138" s="44"/>
      <c r="B138" s="45"/>
      <c r="C138" s="46" t="s">
        <v>16</v>
      </c>
      <c r="D138" s="45"/>
      <c r="E138" s="47"/>
      <c r="F138" s="47"/>
      <c r="G138" s="48"/>
      <c r="H138" s="48"/>
      <c r="I138" s="48">
        <f t="shared" si="19"/>
        <v>0</v>
      </c>
      <c r="J138" s="51"/>
      <c r="K138" s="37"/>
    </row>
    <row r="139" spans="1:11" s="50" customFormat="1" ht="13.2" x14ac:dyDescent="0.25">
      <c r="A139" s="44"/>
      <c r="B139" s="45"/>
      <c r="C139" s="46" t="s">
        <v>16</v>
      </c>
      <c r="D139" s="45"/>
      <c r="E139" s="47"/>
      <c r="F139" s="47"/>
      <c r="G139" s="48"/>
      <c r="H139" s="48"/>
      <c r="I139" s="48">
        <f t="shared" si="19"/>
        <v>0</v>
      </c>
      <c r="J139" s="51"/>
      <c r="K139" s="37"/>
    </row>
    <row r="140" spans="1:11" s="50" customFormat="1" ht="13.2" x14ac:dyDescent="0.25">
      <c r="A140" s="44"/>
      <c r="B140" s="45"/>
      <c r="C140" s="46" t="s">
        <v>16</v>
      </c>
      <c r="D140" s="45"/>
      <c r="E140" s="47"/>
      <c r="F140" s="47"/>
      <c r="G140" s="48"/>
      <c r="H140" s="48"/>
      <c r="I140" s="48">
        <f t="shared" si="19"/>
        <v>0</v>
      </c>
      <c r="J140" s="51"/>
      <c r="K140" s="37"/>
    </row>
    <row r="141" spans="1:11" s="50" customFormat="1" ht="13.2" x14ac:dyDescent="0.25">
      <c r="A141" s="44"/>
      <c r="B141" s="45"/>
      <c r="C141" s="46" t="s">
        <v>16</v>
      </c>
      <c r="D141" s="45"/>
      <c r="E141" s="47"/>
      <c r="F141" s="47"/>
      <c r="G141" s="48"/>
      <c r="H141" s="48"/>
      <c r="I141" s="48">
        <f t="shared" si="19"/>
        <v>0</v>
      </c>
      <c r="J141" s="51"/>
      <c r="K141" s="37"/>
    </row>
    <row r="142" spans="1:11" s="50" customFormat="1" ht="13.2" x14ac:dyDescent="0.25">
      <c r="A142" s="44"/>
      <c r="B142" s="45"/>
      <c r="C142" s="46" t="s">
        <v>16</v>
      </c>
      <c r="D142" s="45"/>
      <c r="E142" s="47"/>
      <c r="F142" s="47"/>
      <c r="G142" s="48"/>
      <c r="H142" s="48"/>
      <c r="I142" s="48">
        <f t="shared" si="18"/>
        <v>0</v>
      </c>
      <c r="J142" s="51"/>
      <c r="K142" s="37"/>
    </row>
    <row r="143" spans="1:11" s="50" customFormat="1" ht="13.2" x14ac:dyDescent="0.25">
      <c r="A143" s="44"/>
      <c r="B143" s="45"/>
      <c r="C143" s="46" t="s">
        <v>16</v>
      </c>
      <c r="D143" s="45"/>
      <c r="E143" s="47"/>
      <c r="F143" s="47"/>
      <c r="G143" s="48"/>
      <c r="H143" s="48"/>
      <c r="I143" s="48">
        <f t="shared" si="18"/>
        <v>0</v>
      </c>
      <c r="J143" s="51"/>
      <c r="K143" s="37"/>
    </row>
    <row r="144" spans="1:11" ht="13.2" x14ac:dyDescent="0.25">
      <c r="A144" s="13"/>
      <c r="B144" s="15"/>
      <c r="C144" s="15"/>
      <c r="D144" s="15"/>
      <c r="E144" s="15" t="s">
        <v>17</v>
      </c>
      <c r="F144" s="15"/>
      <c r="G144" s="18">
        <f t="shared" ref="G144:H144" si="20">SUM(G126:G143)</f>
        <v>0</v>
      </c>
      <c r="H144" s="18">
        <f t="shared" si="20"/>
        <v>0</v>
      </c>
      <c r="I144" s="18">
        <f t="shared" si="18"/>
        <v>0</v>
      </c>
      <c r="J144" s="19"/>
      <c r="K144" s="38"/>
    </row>
    <row r="145" spans="1:11" ht="18.75" customHeight="1" x14ac:dyDescent="0.25">
      <c r="A145" s="58" t="s">
        <v>24</v>
      </c>
      <c r="B145" s="56"/>
      <c r="C145" s="56"/>
      <c r="D145" s="56"/>
      <c r="E145" s="56"/>
      <c r="F145" s="56"/>
      <c r="G145" s="56"/>
      <c r="H145" s="56"/>
      <c r="I145" s="56"/>
      <c r="J145" s="56"/>
      <c r="K145" s="57"/>
    </row>
    <row r="146" spans="1:11" ht="13.2" x14ac:dyDescent="0.25">
      <c r="A146" s="29" t="s">
        <v>12</v>
      </c>
      <c r="B146" s="76" t="s">
        <v>13</v>
      </c>
      <c r="C146" s="56"/>
      <c r="D146" s="56"/>
      <c r="E146" s="56"/>
      <c r="F146" s="56"/>
      <c r="G146" s="56"/>
      <c r="H146" s="56"/>
      <c r="I146" s="56"/>
      <c r="J146" s="56"/>
      <c r="K146" s="57"/>
    </row>
    <row r="147" spans="1:11" ht="28.5" customHeight="1" x14ac:dyDescent="0.25">
      <c r="A147" s="30" t="s">
        <v>14</v>
      </c>
      <c r="B147" s="76" t="s">
        <v>15</v>
      </c>
      <c r="C147" s="56"/>
      <c r="D147" s="56"/>
      <c r="E147" s="56"/>
      <c r="F147" s="56"/>
      <c r="G147" s="56"/>
      <c r="H147" s="56"/>
      <c r="I147" s="56"/>
      <c r="J147" s="56"/>
      <c r="K147" s="57"/>
    </row>
    <row r="148" spans="1:11" s="50" customFormat="1" ht="13.2" x14ac:dyDescent="0.25">
      <c r="A148" s="44"/>
      <c r="B148" s="45"/>
      <c r="C148" s="46" t="s">
        <v>16</v>
      </c>
      <c r="D148" s="45"/>
      <c r="E148" s="47"/>
      <c r="F148" s="47"/>
      <c r="G148" s="48"/>
      <c r="H148" s="48"/>
      <c r="I148" s="48">
        <f t="shared" ref="I148:I165" si="21">H148-G148</f>
        <v>0</v>
      </c>
      <c r="J148" s="51"/>
      <c r="K148" s="37"/>
    </row>
    <row r="149" spans="1:11" s="50" customFormat="1" ht="13.2" x14ac:dyDescent="0.25">
      <c r="A149" s="44"/>
      <c r="B149" s="45"/>
      <c r="C149" s="46" t="s">
        <v>16</v>
      </c>
      <c r="D149" s="45"/>
      <c r="E149" s="47"/>
      <c r="F149" s="47"/>
      <c r="G149" s="48"/>
      <c r="H149" s="48"/>
      <c r="I149" s="48">
        <f t="shared" si="21"/>
        <v>0</v>
      </c>
      <c r="J149" s="51"/>
      <c r="K149" s="37"/>
    </row>
    <row r="150" spans="1:11" s="50" customFormat="1" ht="13.2" x14ac:dyDescent="0.25">
      <c r="A150" s="44"/>
      <c r="B150" s="45"/>
      <c r="C150" s="46" t="s">
        <v>16</v>
      </c>
      <c r="D150" s="45"/>
      <c r="E150" s="47"/>
      <c r="F150" s="47"/>
      <c r="G150" s="48"/>
      <c r="H150" s="48"/>
      <c r="I150" s="48">
        <f t="shared" si="21"/>
        <v>0</v>
      </c>
      <c r="J150" s="51"/>
      <c r="K150" s="37"/>
    </row>
    <row r="151" spans="1:11" s="50" customFormat="1" ht="13.2" x14ac:dyDescent="0.25">
      <c r="A151" s="44"/>
      <c r="B151" s="45"/>
      <c r="C151" s="46" t="s">
        <v>16</v>
      </c>
      <c r="D151" s="45"/>
      <c r="E151" s="47"/>
      <c r="F151" s="47"/>
      <c r="G151" s="48"/>
      <c r="H151" s="48"/>
      <c r="I151" s="48">
        <f t="shared" si="21"/>
        <v>0</v>
      </c>
      <c r="J151" s="51"/>
      <c r="K151" s="37"/>
    </row>
    <row r="152" spans="1:11" s="50" customFormat="1" ht="13.2" x14ac:dyDescent="0.25">
      <c r="A152" s="44"/>
      <c r="B152" s="45"/>
      <c r="C152" s="46" t="s">
        <v>16</v>
      </c>
      <c r="D152" s="45"/>
      <c r="E152" s="47"/>
      <c r="F152" s="47"/>
      <c r="G152" s="48"/>
      <c r="H152" s="48"/>
      <c r="I152" s="48">
        <f t="shared" si="21"/>
        <v>0</v>
      </c>
      <c r="J152" s="51"/>
      <c r="K152" s="37"/>
    </row>
    <row r="153" spans="1:11" s="50" customFormat="1" ht="13.2" x14ac:dyDescent="0.25">
      <c r="A153" s="44"/>
      <c r="B153" s="45"/>
      <c r="C153" s="46" t="s">
        <v>16</v>
      </c>
      <c r="D153" s="45"/>
      <c r="E153" s="47"/>
      <c r="F153" s="47"/>
      <c r="G153" s="48"/>
      <c r="H153" s="48"/>
      <c r="I153" s="48">
        <f t="shared" si="21"/>
        <v>0</v>
      </c>
      <c r="J153" s="51"/>
      <c r="K153" s="37"/>
    </row>
    <row r="154" spans="1:11" s="50" customFormat="1" ht="13.2" x14ac:dyDescent="0.25">
      <c r="A154" s="44"/>
      <c r="B154" s="45"/>
      <c r="C154" s="46" t="s">
        <v>16</v>
      </c>
      <c r="D154" s="45"/>
      <c r="E154" s="47"/>
      <c r="F154" s="47"/>
      <c r="G154" s="48"/>
      <c r="H154" s="48"/>
      <c r="I154" s="48">
        <f t="shared" si="21"/>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ref="I156:I162" si="22">H156-G156</f>
        <v>0</v>
      </c>
      <c r="J156" s="51"/>
      <c r="K156" s="37"/>
    </row>
    <row r="157" spans="1:11" s="50" customFormat="1" ht="13.2" x14ac:dyDescent="0.25">
      <c r="A157" s="44"/>
      <c r="B157" s="45"/>
      <c r="C157" s="46" t="s">
        <v>16</v>
      </c>
      <c r="D157" s="45"/>
      <c r="E157" s="47"/>
      <c r="F157" s="47"/>
      <c r="G157" s="48"/>
      <c r="H157" s="48"/>
      <c r="I157" s="48">
        <f t="shared" si="22"/>
        <v>0</v>
      </c>
      <c r="J157" s="51"/>
      <c r="K157" s="37"/>
    </row>
    <row r="158" spans="1:11" s="50" customFormat="1" ht="13.2" x14ac:dyDescent="0.25">
      <c r="A158" s="44"/>
      <c r="B158" s="45"/>
      <c r="C158" s="46" t="s">
        <v>16</v>
      </c>
      <c r="D158" s="45"/>
      <c r="E158" s="47"/>
      <c r="F158" s="47"/>
      <c r="G158" s="48"/>
      <c r="H158" s="48"/>
      <c r="I158" s="48">
        <f t="shared" si="22"/>
        <v>0</v>
      </c>
      <c r="J158" s="51"/>
      <c r="K158" s="37"/>
    </row>
    <row r="159" spans="1:11" s="50" customFormat="1" ht="13.2" x14ac:dyDescent="0.25">
      <c r="A159" s="44"/>
      <c r="B159" s="45"/>
      <c r="C159" s="46" t="s">
        <v>16</v>
      </c>
      <c r="D159" s="45"/>
      <c r="E159" s="47"/>
      <c r="F159" s="47"/>
      <c r="G159" s="48"/>
      <c r="H159" s="48"/>
      <c r="I159" s="48">
        <f t="shared" si="22"/>
        <v>0</v>
      </c>
      <c r="J159" s="51"/>
      <c r="K159" s="37"/>
    </row>
    <row r="160" spans="1:11" s="50" customFormat="1" ht="13.2" x14ac:dyDescent="0.25">
      <c r="A160" s="44"/>
      <c r="B160" s="45"/>
      <c r="C160" s="46" t="s">
        <v>16</v>
      </c>
      <c r="D160" s="45"/>
      <c r="E160" s="47"/>
      <c r="F160" s="47"/>
      <c r="G160" s="48"/>
      <c r="H160" s="48"/>
      <c r="I160" s="48">
        <f t="shared" si="22"/>
        <v>0</v>
      </c>
      <c r="J160" s="51"/>
      <c r="K160" s="37"/>
    </row>
    <row r="161" spans="1:11" s="50" customFormat="1" ht="13.2" x14ac:dyDescent="0.25">
      <c r="A161" s="44"/>
      <c r="B161" s="45"/>
      <c r="C161" s="46" t="s">
        <v>16</v>
      </c>
      <c r="D161" s="45"/>
      <c r="E161" s="47"/>
      <c r="F161" s="47"/>
      <c r="G161" s="48"/>
      <c r="H161" s="48"/>
      <c r="I161" s="48">
        <f t="shared" si="22"/>
        <v>0</v>
      </c>
      <c r="J161" s="51"/>
      <c r="K161" s="37"/>
    </row>
    <row r="162" spans="1:11" s="50" customFormat="1" ht="13.2" x14ac:dyDescent="0.25">
      <c r="A162" s="44"/>
      <c r="B162" s="45"/>
      <c r="C162" s="46" t="s">
        <v>16</v>
      </c>
      <c r="D162" s="45"/>
      <c r="E162" s="47"/>
      <c r="F162" s="47"/>
      <c r="G162" s="48"/>
      <c r="H162" s="48"/>
      <c r="I162" s="48">
        <f t="shared" si="22"/>
        <v>0</v>
      </c>
      <c r="J162" s="51"/>
      <c r="K162" s="37"/>
    </row>
    <row r="163" spans="1:11" s="50" customFormat="1" ht="13.2" x14ac:dyDescent="0.25">
      <c r="A163" s="44"/>
      <c r="B163" s="45"/>
      <c r="C163" s="46" t="s">
        <v>16</v>
      </c>
      <c r="D163" s="45"/>
      <c r="E163" s="47"/>
      <c r="F163" s="47"/>
      <c r="G163" s="48"/>
      <c r="H163" s="48"/>
      <c r="I163" s="48">
        <f t="shared" si="21"/>
        <v>0</v>
      </c>
      <c r="J163" s="51"/>
      <c r="K163" s="37"/>
    </row>
    <row r="164" spans="1:11" s="50" customFormat="1" ht="13.2" x14ac:dyDescent="0.25">
      <c r="A164" s="44"/>
      <c r="B164" s="45"/>
      <c r="C164" s="46" t="s">
        <v>16</v>
      </c>
      <c r="D164" s="45"/>
      <c r="E164" s="47"/>
      <c r="F164" s="47"/>
      <c r="G164" s="48"/>
      <c r="H164" s="48"/>
      <c r="I164" s="48">
        <f t="shared" si="21"/>
        <v>0</v>
      </c>
      <c r="J164" s="51"/>
      <c r="K164" s="37"/>
    </row>
    <row r="165" spans="1:11" ht="13.2" x14ac:dyDescent="0.25">
      <c r="A165" s="13"/>
      <c r="B165" s="15"/>
      <c r="C165" s="15"/>
      <c r="D165" s="15"/>
      <c r="E165" s="15" t="s">
        <v>17</v>
      </c>
      <c r="F165" s="15"/>
      <c r="G165" s="18">
        <f t="shared" ref="G165:H165" si="23">SUM(G148:G164)</f>
        <v>0</v>
      </c>
      <c r="H165" s="18">
        <f t="shared" si="23"/>
        <v>0</v>
      </c>
      <c r="I165" s="18">
        <f t="shared" si="21"/>
        <v>0</v>
      </c>
      <c r="J165" s="19"/>
      <c r="K165" s="38"/>
    </row>
    <row r="166" spans="1:11" ht="18.75" customHeight="1" x14ac:dyDescent="0.25">
      <c r="A166" s="63" t="s">
        <v>25</v>
      </c>
      <c r="B166" s="64"/>
      <c r="C166" s="64"/>
      <c r="D166" s="64"/>
      <c r="E166" s="64"/>
      <c r="F166" s="64"/>
      <c r="G166" s="64"/>
      <c r="H166" s="64"/>
      <c r="I166" s="64"/>
      <c r="J166" s="64"/>
      <c r="K166" s="65"/>
    </row>
    <row r="167" spans="1:11" ht="13.2" x14ac:dyDescent="0.25">
      <c r="A167" s="32" t="s">
        <v>12</v>
      </c>
      <c r="B167" s="66" t="s">
        <v>13</v>
      </c>
      <c r="C167" s="64"/>
      <c r="D167" s="64"/>
      <c r="E167" s="64"/>
      <c r="F167" s="64"/>
      <c r="G167" s="64"/>
      <c r="H167" s="64"/>
      <c r="I167" s="64"/>
      <c r="J167" s="64"/>
      <c r="K167" s="65"/>
    </row>
    <row r="168" spans="1:11" ht="28.5" customHeight="1" x14ac:dyDescent="0.25">
      <c r="A168" s="33" t="s">
        <v>14</v>
      </c>
      <c r="B168" s="66" t="s">
        <v>15</v>
      </c>
      <c r="C168" s="64"/>
      <c r="D168" s="64"/>
      <c r="E168" s="64"/>
      <c r="F168" s="64"/>
      <c r="G168" s="64"/>
      <c r="H168" s="64"/>
      <c r="I168" s="64"/>
      <c r="J168" s="64"/>
      <c r="K168" s="65"/>
    </row>
    <row r="169" spans="1:11" s="50" customFormat="1" ht="13.2" x14ac:dyDescent="0.25">
      <c r="A169" s="44"/>
      <c r="B169" s="45"/>
      <c r="C169" s="46" t="s">
        <v>16</v>
      </c>
      <c r="D169" s="45"/>
      <c r="E169" s="47"/>
      <c r="F169" s="47"/>
      <c r="G169" s="48"/>
      <c r="H169" s="48"/>
      <c r="I169" s="48">
        <f t="shared" ref="I169:I187" si="24">H169-G169</f>
        <v>0</v>
      </c>
      <c r="J169" s="51"/>
      <c r="K169" s="37"/>
    </row>
    <row r="170" spans="1:11" s="50" customFormat="1" ht="13.2" x14ac:dyDescent="0.25">
      <c r="A170" s="44"/>
      <c r="B170" s="45"/>
      <c r="C170" s="46" t="s">
        <v>16</v>
      </c>
      <c r="D170" s="45"/>
      <c r="E170" s="47"/>
      <c r="F170" s="47"/>
      <c r="G170" s="48"/>
      <c r="H170" s="48"/>
      <c r="I170" s="48">
        <f t="shared" si="24"/>
        <v>0</v>
      </c>
      <c r="J170" s="51"/>
      <c r="K170" s="37"/>
    </row>
    <row r="171" spans="1:11" s="50" customFormat="1" ht="13.2" x14ac:dyDescent="0.25">
      <c r="A171" s="44"/>
      <c r="B171" s="45"/>
      <c r="C171" s="46" t="s">
        <v>16</v>
      </c>
      <c r="D171" s="45"/>
      <c r="E171" s="47"/>
      <c r="F171" s="47"/>
      <c r="G171" s="48"/>
      <c r="H171" s="48"/>
      <c r="I171" s="48">
        <f t="shared" si="24"/>
        <v>0</v>
      </c>
      <c r="J171" s="51"/>
      <c r="K171" s="37"/>
    </row>
    <row r="172" spans="1:11" s="50" customFormat="1" ht="13.2" x14ac:dyDescent="0.25">
      <c r="A172" s="44"/>
      <c r="B172" s="45"/>
      <c r="C172" s="46" t="s">
        <v>16</v>
      </c>
      <c r="D172" s="45"/>
      <c r="E172" s="47"/>
      <c r="F172" s="47"/>
      <c r="G172" s="48"/>
      <c r="H172" s="48"/>
      <c r="I172" s="48">
        <f t="shared" si="24"/>
        <v>0</v>
      </c>
      <c r="J172" s="51"/>
      <c r="K172" s="37"/>
    </row>
    <row r="173" spans="1:11" s="50" customFormat="1" ht="13.2" x14ac:dyDescent="0.25">
      <c r="A173" s="44"/>
      <c r="B173" s="45"/>
      <c r="C173" s="46" t="s">
        <v>16</v>
      </c>
      <c r="D173" s="45"/>
      <c r="E173" s="47"/>
      <c r="F173" s="47"/>
      <c r="G173" s="48"/>
      <c r="H173" s="48"/>
      <c r="I173" s="48">
        <f t="shared" si="24"/>
        <v>0</v>
      </c>
      <c r="J173" s="51"/>
      <c r="K173" s="37"/>
    </row>
    <row r="174" spans="1:11" s="50" customFormat="1" ht="13.2" x14ac:dyDescent="0.25">
      <c r="A174" s="44"/>
      <c r="B174" s="45"/>
      <c r="C174" s="46" t="s">
        <v>16</v>
      </c>
      <c r="D174" s="45"/>
      <c r="E174" s="47"/>
      <c r="F174" s="47"/>
      <c r="G174" s="48"/>
      <c r="H174" s="48"/>
      <c r="I174" s="48">
        <f t="shared" si="24"/>
        <v>0</v>
      </c>
      <c r="J174" s="51"/>
      <c r="K174" s="37"/>
    </row>
    <row r="175" spans="1:11" s="50" customFormat="1" ht="13.2" x14ac:dyDescent="0.25">
      <c r="A175" s="44"/>
      <c r="B175" s="45"/>
      <c r="C175" s="46" t="s">
        <v>16</v>
      </c>
      <c r="D175" s="45"/>
      <c r="E175" s="47"/>
      <c r="F175" s="47"/>
      <c r="G175" s="48"/>
      <c r="H175" s="48"/>
      <c r="I175" s="48">
        <f t="shared" si="24"/>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ref="I177:I184" si="25">H177-G177</f>
        <v>0</v>
      </c>
      <c r="J177" s="51"/>
      <c r="K177" s="37"/>
    </row>
    <row r="178" spans="1:11" s="50" customFormat="1" ht="13.2" x14ac:dyDescent="0.25">
      <c r="A178" s="44"/>
      <c r="B178" s="45"/>
      <c r="C178" s="46" t="s">
        <v>16</v>
      </c>
      <c r="D178" s="45"/>
      <c r="E178" s="47"/>
      <c r="F178" s="47"/>
      <c r="G178" s="48"/>
      <c r="H178" s="48"/>
      <c r="I178" s="48">
        <f t="shared" si="25"/>
        <v>0</v>
      </c>
      <c r="J178" s="51"/>
      <c r="K178" s="37"/>
    </row>
    <row r="179" spans="1:11" s="50" customFormat="1" ht="13.2" x14ac:dyDescent="0.25">
      <c r="A179" s="44"/>
      <c r="B179" s="45"/>
      <c r="C179" s="46" t="s">
        <v>16</v>
      </c>
      <c r="D179" s="45"/>
      <c r="E179" s="47"/>
      <c r="F179" s="47"/>
      <c r="G179" s="48"/>
      <c r="H179" s="48"/>
      <c r="I179" s="48">
        <f t="shared" si="25"/>
        <v>0</v>
      </c>
      <c r="J179" s="51"/>
      <c r="K179" s="37"/>
    </row>
    <row r="180" spans="1:11" s="50" customFormat="1" ht="13.2" x14ac:dyDescent="0.25">
      <c r="A180" s="44"/>
      <c r="B180" s="45"/>
      <c r="C180" s="46" t="s">
        <v>16</v>
      </c>
      <c r="D180" s="45"/>
      <c r="E180" s="47"/>
      <c r="F180" s="47"/>
      <c r="G180" s="48"/>
      <c r="H180" s="48"/>
      <c r="I180" s="48">
        <f t="shared" si="25"/>
        <v>0</v>
      </c>
      <c r="J180" s="51"/>
      <c r="K180" s="37"/>
    </row>
    <row r="181" spans="1:11" s="50" customFormat="1" ht="13.2" x14ac:dyDescent="0.25">
      <c r="A181" s="44"/>
      <c r="B181" s="45"/>
      <c r="C181" s="46" t="s">
        <v>16</v>
      </c>
      <c r="D181" s="45"/>
      <c r="E181" s="47"/>
      <c r="F181" s="47"/>
      <c r="G181" s="48"/>
      <c r="H181" s="48"/>
      <c r="I181" s="48">
        <f t="shared" si="25"/>
        <v>0</v>
      </c>
      <c r="J181" s="51"/>
      <c r="K181" s="37"/>
    </row>
    <row r="182" spans="1:11" s="50" customFormat="1" ht="13.2" x14ac:dyDescent="0.25">
      <c r="A182" s="44"/>
      <c r="B182" s="45"/>
      <c r="C182" s="46" t="s">
        <v>16</v>
      </c>
      <c r="D182" s="45"/>
      <c r="E182" s="47"/>
      <c r="F182" s="47"/>
      <c r="G182" s="48"/>
      <c r="H182" s="48"/>
      <c r="I182" s="48">
        <f t="shared" si="25"/>
        <v>0</v>
      </c>
      <c r="J182" s="51"/>
      <c r="K182" s="37"/>
    </row>
    <row r="183" spans="1:11" s="50" customFormat="1" ht="13.2" x14ac:dyDescent="0.25">
      <c r="A183" s="44"/>
      <c r="B183" s="45"/>
      <c r="C183" s="46" t="s">
        <v>16</v>
      </c>
      <c r="D183" s="45"/>
      <c r="E183" s="47"/>
      <c r="F183" s="47"/>
      <c r="G183" s="48"/>
      <c r="H183" s="48"/>
      <c r="I183" s="48">
        <f t="shared" si="25"/>
        <v>0</v>
      </c>
      <c r="J183" s="51"/>
      <c r="K183" s="37"/>
    </row>
    <row r="184" spans="1:11" s="50" customFormat="1" ht="13.2" x14ac:dyDescent="0.25">
      <c r="A184" s="44"/>
      <c r="B184" s="45"/>
      <c r="C184" s="46" t="s">
        <v>16</v>
      </c>
      <c r="D184" s="45"/>
      <c r="E184" s="47"/>
      <c r="F184" s="47"/>
      <c r="G184" s="48"/>
      <c r="H184" s="48"/>
      <c r="I184" s="48">
        <f t="shared" si="25"/>
        <v>0</v>
      </c>
      <c r="J184" s="51"/>
      <c r="K184" s="37"/>
    </row>
    <row r="185" spans="1:11" s="50" customFormat="1" ht="13.2" x14ac:dyDescent="0.25">
      <c r="A185" s="44"/>
      <c r="B185" s="45"/>
      <c r="C185" s="46" t="s">
        <v>16</v>
      </c>
      <c r="D185" s="45"/>
      <c r="E185" s="47"/>
      <c r="F185" s="47"/>
      <c r="G185" s="48"/>
      <c r="H185" s="48"/>
      <c r="I185" s="48">
        <f t="shared" si="24"/>
        <v>0</v>
      </c>
      <c r="J185" s="51"/>
      <c r="K185" s="37"/>
    </row>
    <row r="186" spans="1:11" s="50" customFormat="1" ht="13.2" x14ac:dyDescent="0.25">
      <c r="A186" s="44"/>
      <c r="B186" s="45"/>
      <c r="C186" s="46" t="s">
        <v>16</v>
      </c>
      <c r="D186" s="45"/>
      <c r="E186" s="47"/>
      <c r="F186" s="47"/>
      <c r="G186" s="48"/>
      <c r="H186" s="48"/>
      <c r="I186" s="48">
        <f t="shared" si="24"/>
        <v>0</v>
      </c>
      <c r="J186" s="51"/>
      <c r="K186" s="37"/>
    </row>
    <row r="187" spans="1:11" ht="13.2" x14ac:dyDescent="0.25">
      <c r="A187" s="39"/>
      <c r="B187" s="40"/>
      <c r="C187" s="40"/>
      <c r="D187" s="40"/>
      <c r="E187" s="40" t="s">
        <v>17</v>
      </c>
      <c r="F187" s="40"/>
      <c r="G187" s="41">
        <f t="shared" ref="G187:H187" si="26">SUM(G169:G186)</f>
        <v>0</v>
      </c>
      <c r="H187" s="41">
        <f t="shared" si="26"/>
        <v>0</v>
      </c>
      <c r="I187" s="41">
        <f t="shared" si="24"/>
        <v>0</v>
      </c>
      <c r="J187" s="42"/>
      <c r="K187" s="43"/>
    </row>
  </sheetData>
  <autoFilter ref="A1:K22" xr:uid="{00000000-0009-0000-0000-000000000000}"/>
  <customSheetViews>
    <customSheetView guid="{8BAC9A6B-5D32-4E8D-967D-E17D357516F8}" filter="1" showAutoFilter="1">
      <pageMargins left="0" right="0" top="0" bottom="0" header="0" footer="0"/>
      <autoFilter ref="A1:K15" xr:uid="{7493B26C-4D33-4E71-9288-58C3AF132047}">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66:K166"/>
    <mergeCell ref="B167:K167"/>
    <mergeCell ref="B168:K168"/>
    <mergeCell ref="A2:K2"/>
    <mergeCell ref="B3:K3"/>
    <mergeCell ref="B4:K4"/>
    <mergeCell ref="A23:K23"/>
    <mergeCell ref="B24:K24"/>
    <mergeCell ref="B25:K25"/>
    <mergeCell ref="A57:K57"/>
    <mergeCell ref="B58:K58"/>
    <mergeCell ref="B59:K59"/>
    <mergeCell ref="A80:K80"/>
    <mergeCell ref="B146:K146"/>
    <mergeCell ref="B147:K147"/>
    <mergeCell ref="B81:K81"/>
    <mergeCell ref="B124:K124"/>
    <mergeCell ref="B125:K125"/>
    <mergeCell ref="A145:K145"/>
    <mergeCell ref="B82:K82"/>
    <mergeCell ref="A101:K101"/>
    <mergeCell ref="B102:K102"/>
    <mergeCell ref="B103:K103"/>
    <mergeCell ref="A123:K123"/>
  </mergeCells>
  <conditionalFormatting sqref="B5:B21 B24:B55 B60:B78 B83:B99 B104:B121 B126:B143 B148:B164">
    <cfRule type="containsText" dxfId="17" priority="9" operator="containsText" text="Unplanned">
      <formula>NOT(ISERROR(SEARCH(("Unplanned"),(B5))))</formula>
    </cfRule>
    <cfRule type="containsText" dxfId="16" priority="10" operator="containsText" text="Planned">
      <formula>NOT(ISERROR(SEARCH(("Planned"),(B5))))</formula>
    </cfRule>
    <cfRule type="containsText" dxfId="15" priority="11" operator="containsText" text="In-Progress">
      <formula>NOT(ISERROR(SEARCH(("In-Progress"),(B5))))</formula>
    </cfRule>
    <cfRule type="containsText" dxfId="14" priority="12" operator="containsText" text="Blocked">
      <formula>NOT(ISERROR(SEARCH(("Blocked"),(B5))))</formula>
    </cfRule>
    <cfRule type="containsText" dxfId="13" priority="13" operator="containsText" text="Done">
      <formula>NOT(ISERROR(SEARCH(("Done"),(B5))))</formula>
    </cfRule>
  </conditionalFormatting>
  <conditionalFormatting sqref="B5:B22 B24:B56 B58:B79 B81:B100 B102:B122 B124:B144 B146:B165 B167:B187">
    <cfRule type="containsText" dxfId="12" priority="14" operator="containsText" text="Unplanned">
      <formula>NOT(ISERROR(SEARCH(("Unplanned"),(B5))))</formula>
    </cfRule>
    <cfRule type="containsText" dxfId="11" priority="15" operator="containsText" text="Cancelled">
      <formula>NOT(ISERROR(SEARCH(("Cancelled"),(B5))))</formula>
    </cfRule>
  </conditionalFormatting>
  <conditionalFormatting sqref="B169:B186">
    <cfRule type="containsText" dxfId="10" priority="4" operator="containsText" text="Unplanned">
      <formula>NOT(ISERROR(SEARCH(("Unplanned"),(B169))))</formula>
    </cfRule>
    <cfRule type="containsText" dxfId="9" priority="5" operator="containsText" text="Planned">
      <formula>NOT(ISERROR(SEARCH(("Planned"),(B169))))</formula>
    </cfRule>
    <cfRule type="containsText" dxfId="8" priority="6" operator="containsText" text="In-Progress">
      <formula>NOT(ISERROR(SEARCH(("In-Progress"),(B169))))</formula>
    </cfRule>
    <cfRule type="containsText" dxfId="7" priority="7" operator="containsText" text="Blocked">
      <formula>NOT(ISERROR(SEARCH(("Blocked"),(B169))))</formula>
    </cfRule>
    <cfRule type="containsText" dxfId="6" priority="8" operator="containsText" text="Done">
      <formula>NOT(ISERROR(SEARCH(("Done"),(B169))))</formula>
    </cfRule>
  </conditionalFormatting>
  <conditionalFormatting sqref="G1 G3:G22 G26:G56 G60:G79 G83:G100 G104:G122 G126:G144 G148:G165 G169:G187">
    <cfRule type="cellIs" dxfId="5" priority="18" operator="greaterThan">
      <formula>4</formula>
    </cfRule>
  </conditionalFormatting>
  <conditionalFormatting sqref="H1:H4 H7:H32 H36:H187">
    <cfRule type="containsBlanks" dxfId="4" priority="19">
      <formula>LEN(TRIM(H1))=0</formula>
    </cfRule>
  </conditionalFormatting>
  <conditionalFormatting sqref="H5:H6">
    <cfRule type="cellIs" dxfId="3" priority="2" operator="greaterThan">
      <formula>4</formula>
    </cfRule>
  </conditionalFormatting>
  <conditionalFormatting sqref="H33:H35">
    <cfRule type="cellIs" dxfId="2" priority="1" operator="greaterThan">
      <formula>4</formula>
    </cfRule>
  </conditionalFormatting>
  <conditionalFormatting sqref="I5:I22 I26:I56 I60:I79 I83:I100 I104:I122 I126:I144 I148:I165 I169:I187">
    <cfRule type="expression" dxfId="1" priority="16">
      <formula>H5/G5&gt;=1.5</formula>
    </cfRule>
    <cfRule type="expression" dxfId="0" priority="17">
      <formula>H5/G5&lt;=0.5</formula>
    </cfRule>
  </conditionalFormatting>
  <dataValidations disablePrompts="1" count="1">
    <dataValidation type="list" allowBlank="1" sqref="F148:F164 F169:F186 F5:F21 F60:F78 F83:F99 F104:F121 F126:F143 F26:F55"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xr:uid="{15F60698-F236-48CF-9817-60E03A44251E}"/>
    <hyperlink ref="J20" r:id="rId6" xr:uid="{CD0FD26D-BE25-4EED-8F52-70668670D423}"/>
    <hyperlink ref="J35" r:id="rId7" xr:uid="{336236C0-5774-457E-8C6B-B15D8D1E5C6F}"/>
    <hyperlink ref="J28" r:id="rId8" xr:uid="{AA05656E-B459-4B01-971B-EC7FC7984922}"/>
    <hyperlink ref="J32" r:id="rId9" xr:uid="{B430FD59-6FDC-4875-93EF-48D33E82DA61}"/>
    <hyperlink ref="J26" r:id="rId10" xr:uid="{8AB49E5F-4AC4-4FEC-94CA-96A569865976}"/>
  </hyperlinks>
  <pageMargins left="0.7" right="0.7" top="0.75" bottom="0.75" header="0.3" footer="0.3"/>
  <pageSetup paperSize="9" scale="52" fitToHeight="0" orientation="landscape" horizontalDpi="1200" verticalDpi="1200" r:id="rId11"/>
  <extLst>
    <ext xmlns:x14="http://schemas.microsoft.com/office/spreadsheetml/2009/9/main" uri="{CCE6A557-97BC-4b89-ADB6-D9C93CAAB3DF}">
      <x14:dataValidations xmlns:xm="http://schemas.microsoft.com/office/excel/2006/main" disablePrompts="1" count="2">
        <x14:dataValidation type="list" allowBlank="1" xr:uid="{00000000-0002-0000-0000-000001000000}">
          <x14:formula1>
            <xm:f>'Drop-downs'!$B$2:$B$16</xm:f>
          </x14:formula1>
          <xm:sqref>E148:E164 E169:E186 E5:E21 E60:E78 E83:E99 E104:E121 E126:E143 E26:E55</xm:sqref>
        </x14:dataValidation>
        <x14:dataValidation type="list" allowBlank="1" xr:uid="{00000000-0002-0000-0000-000002000000}">
          <x14:formula1>
            <xm:f>'Drop-downs'!$A$2:$A$9</xm:f>
          </x14:formula1>
          <xm:sqref>B148:B164 B169:B186 B5:B21 B60:B78 B83:B99 B104:B121 B126:B143 B26:B55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IFERROR(SUM(_xlfn._xlws.FILTER('Worklog_Tasks&amp;Times'!$H$26:$H$55,'Worklog_Tasks&amp;Times'!$F$5:$F$21=$B4)),0)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7" t="s">
        <v>37</v>
      </c>
      <c r="C14" s="78"/>
      <c r="D14" s="78"/>
      <c r="E14" s="78"/>
      <c r="F14" s="78"/>
      <c r="G14" s="78"/>
      <c r="H14" s="78"/>
      <c r="I14" s="78"/>
      <c r="J14" s="78"/>
      <c r="K14" s="78"/>
    </row>
    <row r="18" spans="2:6" ht="15" customHeight="1" x14ac:dyDescent="0.25">
      <c r="B18" s="9"/>
    </row>
    <row r="19" spans="2:6" ht="15" customHeight="1" x14ac:dyDescent="0.25">
      <c r="B19" s="79" t="s">
        <v>38</v>
      </c>
      <c r="C19" s="79"/>
      <c r="D19" s="79"/>
      <c r="E19" s="79"/>
      <c r="F19" s="79"/>
    </row>
    <row r="20" spans="2:6" ht="15" customHeight="1" x14ac:dyDescent="0.25">
      <c r="B20" s="79"/>
      <c r="C20" s="79"/>
      <c r="D20" s="79"/>
      <c r="E20" s="79"/>
      <c r="F20" s="79"/>
    </row>
    <row r="21" spans="2:6" ht="15" customHeight="1" x14ac:dyDescent="0.25">
      <c r="B21" s="79"/>
      <c r="C21" s="79"/>
      <c r="D21" s="79"/>
      <c r="E21" s="79"/>
      <c r="F21" s="79"/>
    </row>
    <row r="22" spans="2:6" ht="15" customHeight="1" x14ac:dyDescent="0.25">
      <c r="B22" s="79"/>
      <c r="C22" s="79"/>
      <c r="D22" s="79"/>
      <c r="E22" s="79"/>
      <c r="F22" s="79"/>
    </row>
    <row r="23" spans="2:6" ht="15" customHeight="1" x14ac:dyDescent="0.25">
      <c r="B23" s="79"/>
      <c r="C23" s="79"/>
      <c r="D23" s="79"/>
      <c r="E23" s="79"/>
      <c r="F23" s="79"/>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2025-11-19T15:26:16Z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