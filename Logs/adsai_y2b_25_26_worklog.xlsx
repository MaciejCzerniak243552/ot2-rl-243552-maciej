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S:\GitHub\2025-26b-fai2-adsai-MaciejCzerniak243552\Logs\"/>
    </mc:Choice>
  </mc:AlternateContent>
  <xr:revisionPtr revIDLastSave="0" documentId="13_ncr:1_{2F7A38B6-F499-4C72-BC0A-11A85FA71258}" xr6:coauthVersionLast="47" xr6:coauthVersionMax="47" xr10:uidLastSave="{00000000-0000-0000-0000-000000000000}"/>
  <bookViews>
    <workbookView xWindow="-108" yWindow="-108" windowWidth="23256" windowHeight="12456" xr2:uid="{00000000-000D-0000-FFFF-FFFF00000000}"/>
  </bookViews>
  <sheets>
    <sheet name="Worklog_Tasks&amp;Times" sheetId="1" r:id="rId1"/>
    <sheet name="Overview" sheetId="2" state="hidden" r:id="rId2"/>
    <sheet name="Drop-downs" sheetId="3" state="hidden" r:id="rId3"/>
  </sheets>
  <definedNames>
    <definedName name="_xlnm._FilterDatabase" localSheetId="0" hidden="1">'Worklog_Tasks&amp;Times'!$A$1:$K$22</definedName>
    <definedName name="_xlnm.Print_Area" localSheetId="0">'Worklog_Tasks&amp;Times'!$A$1:$K$170</definedName>
    <definedName name="Z_8BAC9A6B_5D32_4E8D_967D_E17D357516F8_.wvu.FilterData" localSheetId="0" hidden="1">'Worklog_Tasks&amp;Times'!$A$1:$K$22</definedName>
  </definedNames>
  <calcPr calcId="191028"/>
  <customWorkbookViews>
    <customWorkbookView name="TODO" guid="{8BAC9A6B-5D32-4E8D-967D-E17D357516F8}" maximized="1" windowWidth="0" windowHeight="0" activeSheetId="0"/>
  </customWorkbookView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87" i="1" l="1"/>
  <c r="I244" i="1"/>
  <c r="I243" i="1"/>
  <c r="I242" i="1"/>
  <c r="I241" i="1"/>
  <c r="I240" i="1"/>
  <c r="I239" i="1"/>
  <c r="I238" i="1"/>
  <c r="I237" i="1"/>
  <c r="I236" i="1"/>
  <c r="I235" i="1"/>
  <c r="I234" i="1"/>
  <c r="I233" i="1"/>
  <c r="I232" i="1"/>
  <c r="I231" i="1"/>
  <c r="I230" i="1"/>
  <c r="I229" i="1"/>
  <c r="I228" i="1"/>
  <c r="I227" i="1"/>
  <c r="I226" i="1"/>
  <c r="I225" i="1"/>
  <c r="I224" i="1"/>
  <c r="I223" i="1"/>
  <c r="I222" i="1"/>
  <c r="I201" i="1"/>
  <c r="I200" i="1"/>
  <c r="I199" i="1"/>
  <c r="I198" i="1"/>
  <c r="I197" i="1"/>
  <c r="I196" i="1"/>
  <c r="I195" i="1"/>
  <c r="I194" i="1"/>
  <c r="I193" i="1"/>
  <c r="I192" i="1"/>
  <c r="I191" i="1"/>
  <c r="I190" i="1"/>
  <c r="I189" i="1"/>
  <c r="I188" i="1"/>
  <c r="I187" i="1"/>
  <c r="I186" i="1"/>
  <c r="I185" i="1"/>
  <c r="I184" i="1"/>
  <c r="I183" i="1"/>
  <c r="I182" i="1"/>
  <c r="I181" i="1"/>
  <c r="I180" i="1"/>
  <c r="I179" i="1"/>
  <c r="I156" i="1"/>
  <c r="I155" i="1"/>
  <c r="I154" i="1"/>
  <c r="I153" i="1"/>
  <c r="I152" i="1"/>
  <c r="I151" i="1"/>
  <c r="I150" i="1"/>
  <c r="I149" i="1"/>
  <c r="I148" i="1"/>
  <c r="I147" i="1"/>
  <c r="I146" i="1"/>
  <c r="I145" i="1"/>
  <c r="I144" i="1"/>
  <c r="I143" i="1"/>
  <c r="I142" i="1"/>
  <c r="I141" i="1"/>
  <c r="I140" i="1"/>
  <c r="I139" i="1"/>
  <c r="I138" i="1"/>
  <c r="I137" i="1"/>
  <c r="I122" i="1"/>
  <c r="I121" i="1"/>
  <c r="I120" i="1"/>
  <c r="I119" i="1"/>
  <c r="I118" i="1"/>
  <c r="I117" i="1"/>
  <c r="I116" i="1"/>
  <c r="I115" i="1"/>
  <c r="I114" i="1"/>
  <c r="I113" i="1"/>
  <c r="I127" i="1"/>
  <c r="I126" i="1"/>
  <c r="I125" i="1"/>
  <c r="I124" i="1"/>
  <c r="I123" i="1"/>
  <c r="I112" i="1"/>
  <c r="I111" i="1"/>
  <c r="I110" i="1"/>
  <c r="I109" i="1"/>
  <c r="I108" i="1"/>
  <c r="H261" i="1"/>
  <c r="G261" i="1"/>
  <c r="I260" i="1"/>
  <c r="I259" i="1"/>
  <c r="I258" i="1"/>
  <c r="I257" i="1"/>
  <c r="I256" i="1"/>
  <c r="I255" i="1"/>
  <c r="I254" i="1"/>
  <c r="I253" i="1"/>
  <c r="I252" i="1"/>
  <c r="I251" i="1"/>
  <c r="I250" i="1"/>
  <c r="I249" i="1"/>
  <c r="I248" i="1"/>
  <c r="I247" i="1"/>
  <c r="I246" i="1"/>
  <c r="I245" i="1"/>
  <c r="I221" i="1"/>
  <c r="I220" i="1"/>
  <c r="I86" i="1"/>
  <c r="I70" i="1"/>
  <c r="H66" i="1"/>
  <c r="I53" i="1"/>
  <c r="I50" i="1"/>
  <c r="G66" i="1"/>
  <c r="I65" i="1"/>
  <c r="I64" i="1"/>
  <c r="I63" i="1"/>
  <c r="I62" i="1"/>
  <c r="G41" i="1"/>
  <c r="H41" i="1"/>
  <c r="I40" i="1"/>
  <c r="I34" i="1"/>
  <c r="I21" i="1"/>
  <c r="I15" i="1"/>
  <c r="I16" i="1"/>
  <c r="I17" i="1"/>
  <c r="I18" i="1"/>
  <c r="I19" i="1"/>
  <c r="I20" i="1"/>
  <c r="I8" i="1"/>
  <c r="I213" i="1"/>
  <c r="I212" i="1"/>
  <c r="I211" i="1"/>
  <c r="I210" i="1"/>
  <c r="I209" i="1"/>
  <c r="I208" i="1"/>
  <c r="I207" i="1"/>
  <c r="I206" i="1"/>
  <c r="I168" i="1"/>
  <c r="I167" i="1"/>
  <c r="I166" i="1"/>
  <c r="I165" i="1"/>
  <c r="I164" i="1"/>
  <c r="I163" i="1"/>
  <c r="I162" i="1"/>
  <c r="I107" i="1"/>
  <c r="I106" i="1"/>
  <c r="I105" i="1"/>
  <c r="I104" i="1"/>
  <c r="I103" i="1"/>
  <c r="I102" i="1"/>
  <c r="I101" i="1"/>
  <c r="I100" i="1"/>
  <c r="I85" i="1"/>
  <c r="I84" i="1"/>
  <c r="I83" i="1"/>
  <c r="I82" i="1"/>
  <c r="I81" i="1"/>
  <c r="I80" i="1"/>
  <c r="I79" i="1"/>
  <c r="I78" i="1"/>
  <c r="I61" i="1"/>
  <c r="I60" i="1"/>
  <c r="I59" i="1"/>
  <c r="I57" i="1"/>
  <c r="I56" i="1"/>
  <c r="I39" i="1"/>
  <c r="I38" i="1"/>
  <c r="I37" i="1"/>
  <c r="I35" i="1"/>
  <c r="I36" i="1"/>
  <c r="I14" i="1"/>
  <c r="I13" i="1"/>
  <c r="I12" i="1"/>
  <c r="D4" i="2" a="1"/>
  <c r="D4" i="2" s="1"/>
  <c r="C5" i="2" a="1"/>
  <c r="C5" i="2" s="1"/>
  <c r="C4" i="2" a="1"/>
  <c r="C4" i="2" s="1"/>
  <c r="E4" i="2" a="1"/>
  <c r="E4" i="2" s="1"/>
  <c r="F4" i="2" a="1"/>
  <c r="F4" i="2" s="1"/>
  <c r="G4" i="2" a="1"/>
  <c r="G4" i="2" s="1"/>
  <c r="H4" i="2" a="1"/>
  <c r="H4" i="2" s="1"/>
  <c r="I4" i="2" a="1"/>
  <c r="I4" i="2" s="1"/>
  <c r="J4" i="2" a="1"/>
  <c r="J4" i="2" s="1"/>
  <c r="D5" i="2" a="1"/>
  <c r="D5" i="2" s="1"/>
  <c r="E5" i="2" a="1"/>
  <c r="E5" i="2" s="1"/>
  <c r="F5" i="2" a="1"/>
  <c r="F5" i="2" s="1"/>
  <c r="G5" i="2" a="1"/>
  <c r="G5" i="2" s="1"/>
  <c r="H5" i="2" a="1"/>
  <c r="H5" i="2" s="1"/>
  <c r="I5" i="2" a="1"/>
  <c r="I5" i="2" s="1"/>
  <c r="J5" i="2" a="1"/>
  <c r="J5" i="2" s="1"/>
  <c r="D6" i="2" a="1"/>
  <c r="D6" i="2" s="1"/>
  <c r="E6" i="2" a="1"/>
  <c r="E6" i="2" s="1"/>
  <c r="F6" i="2" a="1"/>
  <c r="F6" i="2" s="1"/>
  <c r="G6" i="2" a="1"/>
  <c r="G6" i="2" s="1"/>
  <c r="H6" i="2" a="1"/>
  <c r="H6" i="2" s="1"/>
  <c r="I6" i="2" a="1"/>
  <c r="I6" i="2" s="1"/>
  <c r="J6" i="2" a="1"/>
  <c r="J6" i="2" s="1"/>
  <c r="D7" i="2" a="1"/>
  <c r="D7" i="2" s="1"/>
  <c r="E7" i="2" a="1"/>
  <c r="E7" i="2" s="1"/>
  <c r="F7" i="2" a="1"/>
  <c r="F7" i="2" s="1"/>
  <c r="G7" i="2" a="1"/>
  <c r="G7" i="2" s="1"/>
  <c r="H7" i="2" a="1"/>
  <c r="H7" i="2" s="1"/>
  <c r="I7" i="2" a="1"/>
  <c r="I7" i="2" s="1"/>
  <c r="J7" i="2" a="1"/>
  <c r="J7" i="2" s="1"/>
  <c r="D8" i="2" a="1"/>
  <c r="D8" i="2" s="1"/>
  <c r="E8" i="2" a="1"/>
  <c r="E8" i="2" s="1"/>
  <c r="F8" i="2" a="1"/>
  <c r="F8" i="2" s="1"/>
  <c r="G8" i="2" a="1"/>
  <c r="G8" i="2" s="1"/>
  <c r="H8" i="2" a="1"/>
  <c r="H8" i="2" s="1"/>
  <c r="I8" i="2" a="1"/>
  <c r="I8" i="2" s="1"/>
  <c r="J8" i="2" a="1"/>
  <c r="J8" i="2" s="1"/>
  <c r="D9" i="2" a="1"/>
  <c r="D9" i="2" s="1"/>
  <c r="E9" i="2" a="1"/>
  <c r="E9" i="2" s="1"/>
  <c r="F9" i="2" a="1"/>
  <c r="F9" i="2" s="1"/>
  <c r="G9" i="2" a="1"/>
  <c r="G9" i="2" s="1"/>
  <c r="H9" i="2" a="1"/>
  <c r="H9" i="2" s="1"/>
  <c r="I9" i="2" a="1"/>
  <c r="I9" i="2" s="1"/>
  <c r="J9" i="2" a="1"/>
  <c r="J9" i="2" s="1"/>
  <c r="D10" i="2" a="1"/>
  <c r="D10" i="2" s="1"/>
  <c r="E10" i="2" a="1"/>
  <c r="E10" i="2" s="1"/>
  <c r="F10" i="2" a="1"/>
  <c r="F10" i="2" s="1"/>
  <c r="G10" i="2" a="1"/>
  <c r="G10" i="2" s="1"/>
  <c r="H10" i="2" a="1"/>
  <c r="H10" i="2" s="1"/>
  <c r="I10" i="2" a="1"/>
  <c r="I10" i="2" s="1"/>
  <c r="J10" i="2" a="1"/>
  <c r="J10" i="2" s="1"/>
  <c r="C6" i="2" a="1"/>
  <c r="C6" i="2" s="1"/>
  <c r="C7" i="2" a="1"/>
  <c r="C7" i="2" s="1"/>
  <c r="C8" i="2" a="1"/>
  <c r="C8" i="2" s="1"/>
  <c r="C9" i="2" a="1"/>
  <c r="C9" i="2" s="1"/>
  <c r="C10" i="2" a="1"/>
  <c r="C10" i="2" s="1"/>
  <c r="H216" i="1"/>
  <c r="G216" i="1"/>
  <c r="I215" i="1"/>
  <c r="I214" i="1"/>
  <c r="I205" i="1"/>
  <c r="I204" i="1"/>
  <c r="I203" i="1"/>
  <c r="I202" i="1"/>
  <c r="I178" i="1"/>
  <c r="I177" i="1"/>
  <c r="I176" i="1"/>
  <c r="I175" i="1"/>
  <c r="H171" i="1"/>
  <c r="G171" i="1"/>
  <c r="B9" i="2"/>
  <c r="B8" i="2"/>
  <c r="B11" i="2"/>
  <c r="B10" i="2"/>
  <c r="K11" i="2"/>
  <c r="I261" i="1" l="1"/>
  <c r="I216" i="1"/>
  <c r="K8" i="2"/>
  <c r="K10" i="2"/>
  <c r="E12" i="2"/>
  <c r="D12" i="2"/>
  <c r="I171" i="1"/>
  <c r="J12" i="2"/>
  <c r="I12" i="2"/>
  <c r="H12" i="2"/>
  <c r="G12" i="2"/>
  <c r="F12" i="2"/>
  <c r="K9" i="2"/>
  <c r="K7" i="2"/>
  <c r="B7" i="2"/>
  <c r="K6" i="2"/>
  <c r="B6" i="2"/>
  <c r="K5" i="2"/>
  <c r="B5" i="2"/>
  <c r="C12" i="2"/>
  <c r="B4" i="2"/>
  <c r="K3" i="2"/>
  <c r="B3" i="2"/>
  <c r="I170" i="1"/>
  <c r="I169" i="1"/>
  <c r="I161" i="1"/>
  <c r="I160" i="1"/>
  <c r="I159" i="1"/>
  <c r="I158" i="1"/>
  <c r="I157" i="1"/>
  <c r="I136" i="1"/>
  <c r="I135" i="1"/>
  <c r="I134" i="1"/>
  <c r="H130" i="1"/>
  <c r="G130" i="1"/>
  <c r="I129" i="1"/>
  <c r="I128" i="1"/>
  <c r="I99" i="1"/>
  <c r="I98" i="1"/>
  <c r="I97" i="1"/>
  <c r="I96" i="1"/>
  <c r="I95" i="1"/>
  <c r="I94" i="1"/>
  <c r="I93" i="1"/>
  <c r="I92" i="1"/>
  <c r="H88" i="1"/>
  <c r="G88" i="1"/>
  <c r="I77" i="1"/>
  <c r="I76" i="1"/>
  <c r="I75" i="1"/>
  <c r="I74" i="1"/>
  <c r="I73" i="1"/>
  <c r="I72" i="1"/>
  <c r="I71" i="1"/>
  <c r="I55" i="1"/>
  <c r="I54" i="1"/>
  <c r="I52" i="1"/>
  <c r="I51" i="1"/>
  <c r="I49" i="1"/>
  <c r="I48" i="1"/>
  <c r="I47" i="1"/>
  <c r="I46" i="1"/>
  <c r="I45" i="1"/>
  <c r="I33" i="1"/>
  <c r="I32" i="1"/>
  <c r="I31" i="1"/>
  <c r="I30" i="1"/>
  <c r="I28" i="1"/>
  <c r="I27" i="1"/>
  <c r="I26" i="1"/>
  <c r="H22" i="1"/>
  <c r="G22" i="1"/>
  <c r="I11" i="1"/>
  <c r="I10" i="1"/>
  <c r="I9" i="1"/>
  <c r="I7" i="1"/>
  <c r="I6" i="1"/>
  <c r="I5" i="1"/>
  <c r="I88" i="1" l="1"/>
  <c r="I22" i="1"/>
  <c r="K4" i="2"/>
  <c r="I41" i="1"/>
  <c r="I66" i="1"/>
  <c r="I130" i="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<sst xmlns="http://schemas.openxmlformats.org/spreadsheetml/2006/main" count="692" uniqueCount="179">
  <si>
    <t>Date</t>
  </si>
  <si>
    <t>Status</t>
  </si>
  <si>
    <t>Task</t>
  </si>
  <si>
    <t>Description/Planning</t>
  </si>
  <si>
    <t>Task Type</t>
  </si>
  <si>
    <t>Most suited ILO</t>
  </si>
  <si>
    <t>Est Hours</t>
  </si>
  <si>
    <t>Actual Hours</t>
  </si>
  <si>
    <t>Diff</t>
  </si>
  <si>
    <t>Evidence link</t>
  </si>
  <si>
    <t>Task reflection / notes</t>
  </si>
  <si>
    <t>Week 1</t>
  </si>
  <si>
    <t>week plan:</t>
  </si>
  <si>
    <t>- Weekplan item 1
- Weekplan item 2
- Weekplan item 3
- etc</t>
  </si>
  <si>
    <t>Known Risks</t>
  </si>
  <si>
    <t>[Enter known possible issues that are a risk for you to finish the high level week planning]</t>
  </si>
  <si>
    <t>Max 4 hours tasks</t>
  </si>
  <si>
    <t>Total Hours</t>
  </si>
  <si>
    <t>Week 2</t>
  </si>
  <si>
    <t>[Enter known possible issues that are a risk for you to finish the high level week planning] - if any</t>
  </si>
  <si>
    <t>Week 3</t>
  </si>
  <si>
    <t xml:space="preserve">Week 5 </t>
  </si>
  <si>
    <t>Week 7</t>
  </si>
  <si>
    <t>Week 8</t>
  </si>
  <si>
    <t>Learning Objective</t>
  </si>
  <si>
    <t>W1</t>
  </si>
  <si>
    <t>W2</t>
  </si>
  <si>
    <t>W3</t>
  </si>
  <si>
    <t>W4</t>
  </si>
  <si>
    <t>W5</t>
  </si>
  <si>
    <t>W6</t>
  </si>
  <si>
    <t>W7</t>
  </si>
  <si>
    <t>W8</t>
  </si>
  <si>
    <t xml:space="preserve">Total Hours for objective </t>
  </si>
  <si>
    <t>TOTAL HOURS PER WEEK</t>
  </si>
  <si>
    <t>Use this to plan a high level allocation for all 320 hours you are expected to devote to the course during this block. How do you want to allocate your hours for each week?
Why 320 hours? The European Higher Education Framework states that an academic credit is expected to require 25-28 hours to earn.
You earn 15 credits per block, so you should be expected to devote 375 hours to accomplish that. 
CMGT students do fewer hours because the program is more intense.</t>
  </si>
  <si>
    <r>
      <t xml:space="preserve">If you add more rows to the Worklog Tasks and Time sheet, make sure to update the row count accordingly. For example, if you add an additional row for Week 1, you'll need to adjust all formula in Column C from </t>
    </r>
    <r>
      <rPr>
        <b/>
        <sz val="10"/>
        <rFont val="Arial"/>
        <family val="2"/>
      </rPr>
      <t xml:space="preserve">H14 to H15 </t>
    </r>
    <r>
      <rPr>
        <sz val="10"/>
        <rFont val="Arial"/>
        <family val="2"/>
      </rPr>
      <t xml:space="preserve">and </t>
    </r>
    <r>
      <rPr>
        <b/>
        <sz val="10"/>
        <rFont val="Arial"/>
        <family val="2"/>
      </rPr>
      <t>F14 to F15</t>
    </r>
  </si>
  <si>
    <t>Task Status</t>
  </si>
  <si>
    <t>ILO selection</t>
  </si>
  <si>
    <t>-</t>
  </si>
  <si>
    <t>Planned</t>
  </si>
  <si>
    <t>Design</t>
  </si>
  <si>
    <t>ILO 0.3</t>
  </si>
  <si>
    <t>Unplanned</t>
  </si>
  <si>
    <t>Meeting</t>
  </si>
  <si>
    <t>ILO 1.5</t>
  </si>
  <si>
    <t>Blocked</t>
  </si>
  <si>
    <t>Programming</t>
  </si>
  <si>
    <t>ILO 2.5</t>
  </si>
  <si>
    <t>In-Progress</t>
  </si>
  <si>
    <t>Research</t>
  </si>
  <si>
    <t>ILO 3.5</t>
  </si>
  <si>
    <t>Done</t>
  </si>
  <si>
    <t>Testing</t>
  </si>
  <si>
    <t>ILO 4.4</t>
  </si>
  <si>
    <t>Delayed</t>
  </si>
  <si>
    <t>Workshop</t>
  </si>
  <si>
    <t>ILO 7.3</t>
  </si>
  <si>
    <t>Cancelled</t>
  </si>
  <si>
    <t>Planning</t>
  </si>
  <si>
    <t>ILO 11.2</t>
  </si>
  <si>
    <t>Evidencing</t>
  </si>
  <si>
    <t>Debugging</t>
  </si>
  <si>
    <t>Lecture</t>
  </si>
  <si>
    <t>Study</t>
  </si>
  <si>
    <t>Distraction</t>
  </si>
  <si>
    <t>Break</t>
  </si>
  <si>
    <t>Kick-Off</t>
  </si>
  <si>
    <t>We started the block as always - from kick-off. Last two weeks I was waiting for it and finally I got it. I'm even more excited about computer vision than before.</t>
  </si>
  <si>
    <t>Task 1</t>
  </si>
  <si>
    <t>Image Annotation and Review</t>
  </si>
  <si>
    <t>Next, We had first stand-up with our mentor. My mentor is Alican. I like his approach, he is straight forward and has clear expectations.</t>
  </si>
  <si>
    <t>The only risk that I know about is my dyslexia which can force me to spend more time on reading tasks or can cause troubles during the final presentation.</t>
  </si>
  <si>
    <t>Worklog</t>
  </si>
  <si>
    <t>ILO 2.6</t>
  </si>
  <si>
    <t>Stand-up</t>
  </si>
  <si>
    <t>ILO 6.4</t>
  </si>
  <si>
    <t>Places and Flows Lab</t>
  </si>
  <si>
    <t>Work</t>
  </si>
  <si>
    <t>I work longer on that day since the next day was workshop day and we had a problem with the sensor. I had meeting with people form North Carolina University responsible for the software. Unfortunatelly we didn't fix it at the end. The idea of the workshop evolved afterwards.</t>
  </si>
  <si>
    <t>Workshop in Den Haag</t>
  </si>
  <si>
    <t>The workshop went well. I had an opportunity to refine my presentation skills. It is very important for me to do those types of activity since I usually struggle with presenting. Moreover I had an opportunity to meet world wide known reaserchers from the field of leasurie studies and more.</t>
  </si>
  <si>
    <t>Book</t>
  </si>
  <si>
    <t>Ch1 Introduction</t>
  </si>
  <si>
    <t>Ch2 Digital Image Fundamentals</t>
  </si>
  <si>
    <t>I finished the chapter. Overall, I started reading book before the block began. This approach was motivated by my awareness of having dyslexia, however, my excitement for computer vision also played a major role in my decision to begin early.</t>
  </si>
  <si>
    <t>Week 1 notebooks</t>
  </si>
  <si>
    <t>I started working on nootebooks assigned for week 1. I did something on Monday but I didn't noted it in worklog.</t>
  </si>
  <si>
    <t>The time spent on reading is underestimated since it is hard to track for me. I don't pay attention when I started reading.</t>
  </si>
  <si>
    <t>Tangible Landscape</t>
  </si>
  <si>
    <t>Image Annotation</t>
  </si>
  <si>
    <t>Task_1</t>
  </si>
  <si>
    <t>Self-study</t>
  </si>
  <si>
    <t>Today I started first task which is image annotation. and the main challenge was correctly distinguishing the four classes: root, seed, shoot, and background. At first, I assumed it would be easy to label them based on color and shape differences, but in practice the boundaries were not as clear as expected. The root and shoot often blend into each other, and the seed sometimes has similar tones to the background depending on the lighting. I need to be cautious and if I am not sure whether a given mask is correct, I should consult it with a mentor.  This block promises to be challenging .</t>
  </si>
  <si>
    <t>This week, I focused primarily on reading the assigned chapter, materials dedicated to that week, and starting the Week 1 notebooks. I realised early on that reading takes me longer than average due to dyslexia, so I made the strategic decision to begin the chapter before the block officially started. This helped me reduce pressure during the week and gave me more time to absorb the material. Reflecting on this decision, I can see that early preparation is an effective approach for tasks that require sustained concentration.</t>
  </si>
  <si>
    <t>With small delay I'm finished all notebooks</t>
  </si>
  <si>
    <t>Feedback</t>
  </si>
  <si>
    <t>Feedback session</t>
  </si>
  <si>
    <t>Peer Review Annotation</t>
  </si>
  <si>
    <t>The day started with QGIS training. Afterwards I started working on femto bolt sensor integration to our environment.</t>
  </si>
  <si>
    <t>The task is mostly done. I need to add last images to the file and describe it. Also I plan to verify the the final version with my mentor.</t>
  </si>
  <si>
    <t>Week 2 notebooks</t>
  </si>
  <si>
    <t>I started working on notebooks from second week. However, It was ineffective. I had problem with focus and I decided to end working day afterwards.</t>
  </si>
  <si>
    <t>Today’s feedback session went well and gave me much more clarity about what is expected for ILO 2.6. Before the meeting, I felt uncertain about how to formulate reflections in a way that demonstrates critical thinking. During the session, I realised that I need to be more explicit in analysing my decisions, identifying challenges, and explaining how I plan to improve my workflow based on what I learn each week.
I also noted that I am slightly behind with the notebooks, but I expect to complete the remaining one from last week today.
Next steps:
- Apply the feedback from today by making my reflections more analytical and structured.
- Finish the remaining notebook and review what caused the delay.
- Use future feedback sessions to verify whether my reflections are improving in depth and clarity.</t>
  </si>
  <si>
    <t>Task 2</t>
  </si>
  <si>
    <t>Petri Dish Detection and Extraction</t>
  </si>
  <si>
    <t>Task 2 is about extracting AOI from an image to decrease computation time. I was struggle with the logic of this task at very begining but I checked notebooks and that helped a lot. I'm on the right track.</t>
  </si>
  <si>
    <t>I found in Open CV documentation "connectedComponentsWithStats" function which which turned out to be the solution for the logic of my code. On practice purpose I wrapped the code in handy functions.</t>
  </si>
  <si>
    <t>task_2.ipynb</t>
  </si>
  <si>
    <t>1. Basics.ipynb</t>
  </si>
  <si>
    <t>2. Thresholding and Filtering.ipynb</t>
  </si>
  <si>
    <t>3. Morphological Operations.ipynb</t>
  </si>
  <si>
    <t>6. Object Detection with DL.ipynb</t>
  </si>
  <si>
    <t>5. Image Segmentation.ipynb</t>
  </si>
  <si>
    <t xml:space="preserve">Task 3 </t>
  </si>
  <si>
    <t>Plant Instance Segmentation</t>
  </si>
  <si>
    <t>The task is finished. Now I need to clean the code.</t>
  </si>
  <si>
    <t>Task_3.ipynb</t>
  </si>
  <si>
    <t>I'm in a half way of notebooks for week 2. Small delay in that area but it doesn't have impact on my work flow yet.</t>
  </si>
  <si>
    <t>Final Annotation</t>
  </si>
  <si>
    <t>Today we got peer review adnotations. I can't agree with some of them. I already discussed it with mentor and I'm right about seeds - there are no seeds on my image. During Task 1 review with mentor I got know that I overlabeled the image - mainly roots. It will take a while until I fix it but I believe I finish it before the deadline.</t>
  </si>
  <si>
    <t>Task 4</t>
  </si>
  <si>
    <t>Dataset Preparation for Model Training</t>
  </si>
  <si>
    <t>ILO 8.5</t>
  </si>
  <si>
    <t>I started working on task 4 but I have to admit that I need to finish week 2 notebooks to make it easier for me. I was struggle to get images from multple subdirectories, especially when they have different structure.</t>
  </si>
  <si>
    <t>Travel</t>
  </si>
  <si>
    <t>On that day I was traveling from Netherlands to Poland because our family have earlier chistmas. This is the only oportunity to meet all of them. I didn't see them for a 1,5 year. I informed my mentor beforehand. I'm planing to study over there and work on the project.</t>
  </si>
  <si>
    <t>The addnotation is keep being better. I'm going to finish it tomorrow and submit.</t>
  </si>
  <si>
    <t>Reflection</t>
  </si>
  <si>
    <t>This part of the week pushed me to reflect more deeply on how I handle feedback, unexpected confusion, and dependencies between tasks. I made good progress on the Week 2 notebooks, even though I am slightly behind. At this point, the delay doesn’t affect my workflow, but it made me aware that I need to monitor how these small delays accumulate over time.
While starting Task 4 (dataset preparation), I struggled with retrieving images from multiple subdirectories, particularly because the folder structures were inconsistent. Reflecting on this difficulty, I understood that working on Week 2 notebooks first would give me a clearer foundation and probably make Task 4 more manageable. This helped me see how important it is to respect the intended order of tasks, especially when they build on each other.
The peer-reviewed annotations for Task 1 were a particularly valuable moment for critical thinking. Some of the comments suggested the presence of seeds in my image, but based on my own analysis, there are no seeds in that sample. I discussed this with my mentor, and the feedback confirmed that my interpretation was correct. This reinforced the importance of not accepting peer suggestions blindly and instead evaluating them carefully using my own understanding and evidence.
Next Steps:
- Revisit the annotations and correct the overlabelled regions with more attention to consistency.
- Continue Week 2 notebooks before returning fully to Task 4 to avoid unnecessary confusion.
- Approach peer feedback analytically, confirming suggestions with evidence rather than assuming they are correct.
- Monitor small delays earlier so they do not accumulate into larger workflow issues.</t>
  </si>
  <si>
    <t>This part of the week gave me several opportunities to reflect on how I approach tasks and how I react when things do not go as expected. After work I continued working I continued working on Task 1 Part 2. The technical part of the task progressed well, I reached the final steps - adding the remaining images and writing the description.
Afterwards I switched to notebooks from week 2 of the block. However, I struggled to stay focused, and my work became increasingly ineffective. Instead of pushing through without understanding why, I paused and evaluated the situation. I was mentally tired from switching between training, technical tasks, and notebooks. This made me realise that my productivity drops significantly when I try to handle too many different cognitive tasks in one day.
Next steps:
- Avoid switching between multiple complex tasks in the same day unless needed.
- Start the Week 2 notebooks again when rested to maintain higher quality of work.
- Pay closer attention to when my concentration drops and adjust my workflow accordingly.</t>
  </si>
  <si>
    <t xml:space="preserve">Finally I finished notebooks planed for week 2 and I have some idea what can I do in task 4. </t>
  </si>
  <si>
    <t>I incorporate the approach form notebook 7 from week 2. It looks good so far, however I do not know why the code generate empty variable instead.</t>
  </si>
  <si>
    <t>After long debugging I realise that the differences in structures of datasets made that problem. Moreover I worked on the part of the code which generate datase for the model instead dividing it in patches and safe it in well structured folder as it is shown in Task 4 on github pages. However, I don't think that is a waste of time. First, I've lernt something, second, The logic of the code can be reused in the script where I will divide it into patches and the safe in folders as it is shown in Task 4. I want also incorporate my extraction_dish function in the process since it will reduce ammount of the computation during model training.</t>
  </si>
  <si>
    <t>I finished the function and I run it. I spent some time on testing what size of pathes would be fit the best. I generated only train set part for now, since I want to avoid unnecessary computation. Tomorrow I will display it and check if all patches are correct with their masks. That was a long day, however I have good environment to study - here is quiet and nobody is disrupting me.</t>
  </si>
  <si>
    <t>8. Multiclass Image Segmentation with DL.ipynb</t>
  </si>
  <si>
    <t>7. Image segmentation with DL.ipynb</t>
  </si>
  <si>
    <t>Task 1 part 2</t>
  </si>
  <si>
    <t>Task_4.ipynb</t>
  </si>
  <si>
    <t>This part of the week gave me several moments to reflect on how I handle interruptions, debugging challenges, and task dependencies. I travelled from the Netherlands to Poland for an early family Christmas, and although this disrupted my usual routine, I had informed my mentor beforehand and planned to continue studying while there. This made me think about how important it is to communicate early when personal circumstances temporarily affect availability and to plan proactively around them.
Finishing the Week 2 notebooks was another important step. Completing them gave me a clearer understanding of the methods needed for Task 4, and I could immediately apply some of the ideas from notebook 7. However, when I tried to generate variables for the dataset, the code unexpectedly produced empty outputs. Instead of assuming the code was incorrect, I examined the structure of my dataset more closely and realised that inconsistent folder structures were the real source of the issue.
My work on Task 1 continued progressing, and the annotations are improving with each iteration. I expect to finish and submit them tomorrow. Seeing slow but steady improvement helped me realise that consistent refinement is more valuable than trying to rush the task, especially when accuracy directly affects model performance.
I finished implementing the patch generation function and spent time testing different patch sizes to find the most suitable one. To avoid unnecessary computation, I only generated the training patches for now and plan to inspect them tomorrow to confirm that the masks align correctly. Yesterday was a long day, but working in a quiet space helped me stay focused, and I realised that the environment plays an important role in my productivity.
Next Steps:
- Finalise and submit Task 1 annotations tomorrow.
- Visualise the generated patches and verify mask correctness before producing validation and test sets.
- Integrate the extraction_dish function into the patch-generation pipeline to optimise computation.
- Check dataset structure earlier in future tasks to avoid preventable debugging.
- Continue planning proactively during travel periods to maintain stable progress.</t>
  </si>
  <si>
    <t>I did sanity check and everything seems to be alright.</t>
  </si>
  <si>
    <t>Task 5</t>
  </si>
  <si>
    <t>Week 3 notebooks</t>
  </si>
  <si>
    <t>I started task 5. I'm going to work on single class model to verify if this type of model is enough.</t>
  </si>
  <si>
    <t>The model doesn't seems to be feasible for this task. At least after "base" U-net model. F1 is not even 0.50. I need to test other patch sizes. I also found dice loss which is usually used in medicine. I think it might be useful for this task, however I verify it in next iterations.</t>
  </si>
  <si>
    <t>Model Training</t>
  </si>
  <si>
    <t>I encounter a problem with data generator and I don't know how to fix it. I try to have an access to amount of image-mask pairs to verify if everything works well.</t>
  </si>
  <si>
    <t>Everything seems to be good. The training is running but it goes slow. It is time to use server.</t>
  </si>
  <si>
    <t>I tried to use the server but my data generators don't want to work. I tried to overcome it somehow but I wasn't able. I decided to switch back to my local station.</t>
  </si>
  <si>
    <t>From my observations it appears that model training is so unefficient localy. I need to switch to GPU and setup CUDA.</t>
  </si>
  <si>
    <t>I struggle to setup the right CUDA on my laptop. Somehow in terminal I see that is compatibile with CUDA 13. However, on Nvidia webpage last working integration for RTX 3060 is 11.2.</t>
  </si>
  <si>
    <t>Upgrade</t>
  </si>
  <si>
    <t>CUDA</t>
  </si>
  <si>
    <t>cuDNN</t>
  </si>
  <si>
    <t>I solved the issue with CUDA and now it works. I found additional cuDNN and I implemnted it to CUDA. cuDNN accelerates widely used deep learning frameworks, including PyTorch, JAX, Caffe2, Chainer, Keras, MATLAB, MxNet, PaddlePaddle, and TensorFlow.</t>
  </si>
  <si>
    <t>After improvements mentioned above the training took only a 100 minutes. Resulst are too good to be true. My multiclass baseline has overall 99% F1 score. Now I'm going to evaluate the model to get into result for each class.</t>
  </si>
  <si>
    <t xml:space="preserve">It is harder than I thought. Apparently I'm not able to get predictions for all images at the same time since the number of validate dataset images is to big to predict all at once. Even if I overcome that issue at some point and I did predictions only on around a 100 images then I startet struggle to get all metrics that I want for all classes. </t>
  </si>
  <si>
    <t xml:space="preserve">I solved a problem with metrics and root class has 80-85% F1 score which is more than I expected. I proceed to inference template and the quality of predictions are really good but with small noices. I want to go stright to the end of the process to have some 'skeleton' finished for the project to be able to iterate whole pipline. It is also recommended by the mentor to go to the end and iterate whole pipline. </t>
  </si>
  <si>
    <t>Task 6</t>
  </si>
  <si>
    <t>Individual Root Segmentation</t>
  </si>
  <si>
    <t>I'm not able to use the approach showed in self study materials and I don't know why.</t>
  </si>
  <si>
    <t>I realized that I can't get probability from my model and that's why I can't use Selective Search. I need different approach.</t>
  </si>
  <si>
    <t xml:space="preserve">Week 4 </t>
  </si>
  <si>
    <t>Week 6</t>
  </si>
  <si>
    <t>Task 9</t>
  </si>
  <si>
    <t>Robotics Environment Interaction</t>
  </si>
  <si>
    <t>ILO 8.6</t>
  </si>
  <si>
    <t>Since I don't have idea how I can solve the problem with taks 6 I switched to robotic part</t>
  </si>
  <si>
    <t>This week required a lot of critical evaluation of my technical assumptions, especially regarding the environment setup and the interpretation of model results. I initially struggled to configure CUDA correctly on my laptop.
Resolving this issue helped me understand how fragile deep learning environments can be and how important it is to align hardware, drivers, and libraries correctly.
After fixing the CUDA issue and integrating cuDNN, I observed a significant improvement in training speed. This reinforced the importance of optimising the environment before evaluating model performance. When I trained the multiclass baseline model, the initial results appeared unusually strong, with an overall F1 score of 99%. Instead of accepting these results at face value, I critically questioned their validity and decided to perform a more detailed evaluation per class.
During the evaluation phase, I encountered limitations related to memory and dataset size, which prevented me from generating predictions for all validation images at once. This challenged my assumption that evaluation would be a straightforward extension of training. I had to rethink how to compute metrics incrementally and selectively. Once resolved, I discovered that the root class achieved an F1 score of around 80–85%, which was more realistic and informative than the aggregated metric. This experience highlighted how misleading global metrics can be and why class-wise evaluation is essential.
Next Steps:
- Validate model performance using class-wise metrics rather than relying on overall scores.
- Adapt the individual root segmentation approach to methods compatible with non-probabilistic outputs.
- Continue iterating on the full pipeline now that an end-to-end structure is in place.</t>
  </si>
  <si>
    <t>I started working on approach where  I use first morphology (open/close) then connectedComponentsWithStats. This approach gave me solid base after 2 iterations. However, I still don't get the right detection since the one of the plants is small and choosing the biggest blob not solving the situation.</t>
  </si>
  <si>
    <t>After many attempts in iteration 2 and 3 I decided to involve whole mask instead of root mask. It conected most of disconected roots and blobs. In 4th iterration after dilate -&gt; erode -&gt; connectedComponentsWithStats -&gt; sort results and picking 4 biggest blobs I got satisfying result. I proceeded to Kaggle dataset to do the same task, predicting masks beforhand.</t>
  </si>
  <si>
    <t>Segmented roots system are not the best due to noise produced during prediction. However it is strong base for the next task.</t>
  </si>
  <si>
    <t>Task 7</t>
  </si>
  <si>
    <t>Root System Architecture (RSA) Extraction</t>
  </si>
  <si>
    <t>Following w3 notebooks I played with skeletonize and other useful functions. However, my approach was taking the highest point of each root system mask what gave me strange results such as huge root system had 25 px length.I did first submission with this approach and it seems to work surprisingly well. It gave me public score 35,985 which placed me on 20th place at that moment.</t>
  </si>
  <si>
    <t xml:space="preserve">I did severall improvments but it didin't gave me significantly higher score. Afterwards, I focused on the problem with picking the highest point. With 3rd iteration I switched form "dijkstra_path_length" to "single_source_dijkstra_path_length" which is huge step in the right direction. After this iteration I got score 3.294 and I moved to 2nd place. There still room for improvement since in task 6 </t>
  </si>
  <si>
    <t>This part of the week required continuous re-evaluation of my problem-solving strategy, especially when my initial assumptions did not lead to acceptable results. When I reached a temporary dead end with Task 6, I decided to shift my focus to Task 9 to maintain momentum. This decision helped me stay productive while giving myself time to reconsider the segmentation problem from a different perspective instead of forcing an ineffective approach.
Returning to Task 6, I experimented with a morphology-based pipeline using open/close operations followed by connectedComponentsWithStats. After a couple of iterations, this approach provided a reasonable baseline. However, I identified a critical flaw: selecting the largest blob did not work when one of the plants was significantly smaller. This challenged my assumption that size alone could be used as a reliable selection criterion.
Through further iterations, I decided to involve the entire predicted mask instead of isolating only the root mask. This change helped reconnect fragmented roots and reduce the number of disconnected components. In the fourth iteration, combining dilation, erosion, connected component analysis, sorting results, and selecting the four largest blobs produced a much more reliable outcome. Applying the same logic to the Kaggle dataset further confirmed that the approach was robust, even though prediction noise still affected segmentation quality. Despite this, I recognised that the result is a strong foundation for subsequent tasks rather than a final solution.</t>
  </si>
  <si>
    <t>In Task 7, I explored different strategies for root system architecture extraction using skeletonization and related functions. My initial approach - using the highest point of each root system mask - produced unintuitive results, such as unrealistically short root lengths. Nevertheless, I submitted this version to establish a baseline, which surprisingly achieved a competitive public score.
Subsequent improvements initially yielded limited gains, prompting a deeper examination of the core assumption behind the path-length calculation. In the third iteration, switching from dijkstra_path_length to single_source_dijkstra_path_length significantly improved the results and led to a substantial jump in ranking.
Next Steps:
- Reduce noise propagation from Task 6 and the model to improve downstream RSA extraction.
- Refine blob selection criteria to better handle varying plant sizes.
- Continue iterating on Task 7 with more biologically meaningful root length definitions.</t>
  </si>
  <si>
    <t>After intense week of work I decided to take a break.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</si>
</sst>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d&quot;/&quot;m&quot;/&quot;yy"/>
    <numFmt numFmtId="165" formatCode="d&quot;-&quot;mmm&quot;-&quot;yyyy"/>
    <numFmt numFmtId="166" formatCode="d/m/yy"/>
  </numFmts>
  <fonts count="17" x14ac:knownFonts="1">
    <font>
      <sz val="10"/>
      <color rgb="FF000000"/>
      <name val="Arial"/>
    </font>
    <font>
      <sz val="10"/>
      <color rgb="FFFFFFFF"/>
      <name val="Arial"/>
      <family val="2"/>
    </font>
    <font>
      <b/>
      <sz val="10"/>
      <color rgb="FF000000"/>
      <name val="Calibri"/>
      <family val="2"/>
    </font>
    <font>
      <b/>
      <sz val="9"/>
      <color rgb="FFFFFFFF"/>
      <name val="Calibri"/>
      <family val="2"/>
    </font>
    <font>
      <b/>
      <sz val="9"/>
      <name val="Calibri"/>
      <family val="2"/>
    </font>
    <font>
      <sz val="10"/>
      <name val="Arial"/>
      <family val="2"/>
    </font>
    <font>
      <sz val="10"/>
      <color rgb="FF000000"/>
      <name val="Calibri"/>
      <family val="2"/>
    </font>
    <font>
      <i/>
      <sz val="9"/>
      <color rgb="FF000000"/>
      <name val="Calibri"/>
      <family val="2"/>
    </font>
    <font>
      <sz val="9"/>
      <name val="Calibri"/>
      <family val="2"/>
    </font>
    <font>
      <i/>
      <sz val="8"/>
      <name val="Calibri"/>
      <family val="2"/>
    </font>
    <font>
      <u/>
      <sz val="9"/>
      <color rgb="FF1155CC"/>
      <name val="Calibri"/>
      <family val="2"/>
    </font>
    <font>
      <i/>
      <sz val="10"/>
      <color rgb="FF000000"/>
      <name val="Calibri"/>
      <family val="2"/>
    </font>
    <font>
      <b/>
      <sz val="10"/>
      <name val="Arial"/>
      <family val="2"/>
    </font>
    <font>
      <u/>
      <sz val="10"/>
      <color theme="10"/>
      <name val="Arial"/>
    </font>
    <font>
      <u/>
      <sz val="9"/>
      <color theme="10"/>
      <name val="Calibri"/>
      <family val="2"/>
      <scheme val="minor"/>
    </font>
    <font>
      <u/>
      <sz val="10"/>
      <color theme="10"/>
      <name val="Arial"/>
      <family val="2"/>
    </font>
    <font>
      <sz val="8"/>
      <name val="Arial"/>
      <family val="2"/>
    </font>
  </fonts>
  <fills count="15">
    <fill>
      <patternFill patternType="none"/>
    </fill>
    <fill>
      <patternFill patternType="gray125"/>
    </fill>
    <fill>
      <patternFill patternType="solid">
        <fgColor rgb="FF000000"/>
        <bgColor rgb="FF000000"/>
      </patternFill>
    </fill>
    <fill>
      <patternFill patternType="solid">
        <fgColor rgb="FFE6B8AF"/>
        <bgColor rgb="FFE6B8AF"/>
      </patternFill>
    </fill>
    <fill>
      <patternFill patternType="solid">
        <fgColor rgb="FFF3F3F3"/>
        <bgColor rgb="FFF3F3F3"/>
      </patternFill>
    </fill>
    <fill>
      <patternFill patternType="solid">
        <fgColor rgb="FFEFEFEF"/>
        <bgColor rgb="FFEFEFEF"/>
      </patternFill>
    </fill>
    <fill>
      <patternFill patternType="solid">
        <fgColor rgb="FFFF9900"/>
        <bgColor rgb="FFFF9900"/>
      </patternFill>
    </fill>
    <fill>
      <patternFill patternType="solid">
        <fgColor rgb="FFCCCCCC"/>
        <bgColor rgb="FFCCCCCC"/>
      </patternFill>
    </fill>
    <fill>
      <patternFill patternType="solid">
        <fgColor rgb="FFF4CCCC"/>
        <bgColor rgb="FFF4CCCC"/>
      </patternFill>
    </fill>
    <fill>
      <patternFill patternType="solid">
        <fgColor rgb="FFFCE5CD"/>
        <bgColor rgb="FFFCE5CD"/>
      </patternFill>
    </fill>
    <fill>
      <patternFill patternType="solid">
        <fgColor rgb="FFD9EAD3"/>
        <bgColor rgb="FFD9EAD3"/>
      </patternFill>
    </fill>
    <fill>
      <patternFill patternType="solid">
        <fgColor rgb="FFD0E0E3"/>
        <bgColor rgb="FFD0E0E3"/>
      </patternFill>
    </fill>
    <fill>
      <patternFill patternType="solid">
        <fgColor rgb="FFC9DAF8"/>
        <bgColor rgb="FFC9DAF8"/>
      </patternFill>
    </fill>
    <fill>
      <patternFill patternType="solid">
        <fgColor theme="2" tint="-9.9978637043366805E-2"/>
        <bgColor indexed="64"/>
      </patternFill>
    </fill>
    <fill>
      <patternFill patternType="solid">
        <fgColor theme="9"/>
        <bgColor indexed="64"/>
      </patternFill>
    </fill>
  </fills>
  <borders count="13">
    <border>
      <left/>
      <right/>
      <top/>
      <bottom/>
      <diagonal/>
    </border>
    <border>
      <left style="thin">
        <color rgb="FF000000"/>
      </left>
      <right style="thin">
        <color rgb="FF000000"/>
      </right>
      <top style="thin">
        <color rgb="FF000000"/>
      </top>
      <bottom style="thin">
        <color rgb="FF000000"/>
      </bottom>
      <diagonal/>
    </border>
    <border>
      <left/>
      <right/>
      <top style="thin">
        <color rgb="FF000000"/>
      </top>
      <bottom style="thin">
        <color rgb="FF000000"/>
      </bottom>
      <diagonal/>
    </border>
    <border>
      <left/>
      <right/>
      <top/>
      <bottom style="thin">
        <color rgb="FF000000"/>
      </bottom>
      <diagonal/>
    </border>
    <border>
      <left style="thin">
        <color rgb="FF000000"/>
      </left>
      <right style="thin">
        <color rgb="FF000000"/>
      </right>
      <top/>
      <bottom/>
      <diagonal/>
    </border>
    <border>
      <left style="thin">
        <color rgb="FF000000"/>
      </left>
      <right/>
      <top style="thin">
        <color rgb="FF000000"/>
      </top>
      <bottom style="thin">
        <color rgb="FF000000"/>
      </bottom>
      <diagonal/>
    </border>
    <border>
      <left/>
      <right/>
      <top style="thin">
        <color rgb="FF000000"/>
      </top>
      <bottom/>
      <diagonal/>
    </border>
    <border>
      <left/>
      <right style="thin">
        <color indexed="64"/>
      </right>
      <top/>
      <bottom/>
      <diagonal/>
    </border>
    <border>
      <left/>
      <right style="thin">
        <color indexed="64"/>
      </right>
      <top/>
      <bottom style="thin">
        <color rgb="FF000000"/>
      </bottom>
      <diagonal/>
    </border>
    <border>
      <left/>
      <right style="thin">
        <color indexed="64"/>
      </right>
      <top style="thin">
        <color rgb="FF000000"/>
      </top>
      <bottom style="thin">
        <color rgb="FF000000"/>
      </bottom>
      <diagonal/>
    </border>
    <border>
      <left/>
      <right style="thin">
        <color indexed="64"/>
      </right>
      <top style="thin">
        <color rgb="FF000000"/>
      </top>
      <bottom/>
      <diagonal/>
    </border>
    <border>
      <left/>
      <right/>
      <top style="thin">
        <color rgb="FF000000"/>
      </top>
      <bottom style="thin">
        <color indexed="64"/>
      </bottom>
      <diagonal/>
    </border>
    <border>
      <left/>
      <right style="thin">
        <color indexed="64"/>
      </right>
      <top style="thin">
        <color rgb="FF000000"/>
      </top>
      <bottom style="thin">
        <color indexed="64"/>
      </bottom>
      <diagonal/>
    </border>
  </borders>
  <cellStyleXfs count="2">
    <xf numFmtId="0" fontId="0" fillId="0" borderId="0"/>
    <xf numFmtId="0" fontId="13" fillId="0" borderId="0" applyNumberFormat="0" applyFill="0" applyBorder="0" applyAlignment="0" applyProtection="0"/>
  </cellStyleXfs>
  <cellXfs count="85">
    <xf numFmtId="0" fontId="0" fillId="0" borderId="0" xfId="0"/>
    <xf numFmtId="0" fontId="1" fillId="2" borderId="0" xfId="0" applyFont="1" applyFill="1"/>
    <xf numFmtId="0" fontId="2" fillId="0" borderId="2" xfId="0" applyFont="1" applyBorder="1" applyAlignment="1">
      <alignment horizontal="center"/>
    </xf>
    <xf numFmtId="0" fontId="2" fillId="0" borderId="1" xfId="0" applyFont="1" applyBorder="1" applyAlignment="1">
      <alignment horizontal="center"/>
    </xf>
    <xf numFmtId="0" fontId="6" fillId="4" borderId="4" xfId="0" applyFont="1" applyFill="1" applyBorder="1"/>
    <xf numFmtId="0" fontId="4" fillId="3" borderId="3" xfId="0" applyFont="1" applyFill="1" applyBorder="1" applyAlignment="1">
      <alignment vertical="center" wrapText="1"/>
    </xf>
    <xf numFmtId="0" fontId="6" fillId="4" borderId="0" xfId="0" applyFont="1" applyFill="1" applyAlignment="1">
      <alignment horizontal="center" vertical="top"/>
    </xf>
    <xf numFmtId="0" fontId="6" fillId="4" borderId="4" xfId="0" applyFont="1" applyFill="1" applyBorder="1" applyAlignment="1">
      <alignment horizontal="center"/>
    </xf>
    <xf numFmtId="0" fontId="4" fillId="3" borderId="1" xfId="0" applyFont="1" applyFill="1" applyBorder="1" applyAlignment="1">
      <alignment vertical="center" wrapText="1"/>
    </xf>
    <xf numFmtId="0" fontId="5" fillId="0" borderId="0" xfId="0" applyFont="1"/>
    <xf numFmtId="0" fontId="6" fillId="5" borderId="0" xfId="0" applyFont="1" applyFill="1" applyAlignment="1">
      <alignment horizontal="center" vertical="top"/>
    </xf>
    <xf numFmtId="0" fontId="2" fillId="0" borderId="1" xfId="0" applyFont="1" applyBorder="1"/>
    <xf numFmtId="0" fontId="2" fillId="0" borderId="2" xfId="0" applyFont="1" applyBorder="1" applyAlignment="1">
      <alignment horizontal="center" vertical="top"/>
    </xf>
    <xf numFmtId="165" fontId="8" fillId="0" borderId="6" xfId="0" applyNumberFormat="1" applyFont="1" applyBorder="1" applyAlignment="1">
      <alignment vertical="top"/>
    </xf>
    <xf numFmtId="0" fontId="2" fillId="0" borderId="1" xfId="0" applyFont="1" applyBorder="1" applyAlignment="1">
      <alignment horizontal="center" vertical="top"/>
    </xf>
    <xf numFmtId="0" fontId="8" fillId="0" borderId="6" xfId="0" applyFont="1" applyBorder="1" applyAlignment="1">
      <alignment vertical="top"/>
    </xf>
    <xf numFmtId="0" fontId="6" fillId="0" borderId="0" xfId="0" applyFont="1"/>
    <xf numFmtId="0" fontId="6" fillId="0" borderId="0" xfId="0" applyFont="1" applyAlignment="1">
      <alignment horizontal="center"/>
    </xf>
    <xf numFmtId="0" fontId="8" fillId="0" borderId="6" xfId="0" applyFont="1" applyBorder="1" applyAlignment="1">
      <alignment horizontal="right" vertical="top"/>
    </xf>
    <xf numFmtId="0" fontId="8" fillId="0" borderId="6" xfId="0" applyFont="1" applyBorder="1" applyAlignment="1">
      <alignment horizontal="left" vertical="top"/>
    </xf>
    <xf numFmtId="0" fontId="4" fillId="8" borderId="1" xfId="0" applyFont="1" applyFill="1" applyBorder="1" applyAlignment="1">
      <alignment vertical="center" wrapText="1"/>
    </xf>
    <xf numFmtId="0" fontId="4" fillId="9" borderId="3" xfId="0" applyFont="1" applyFill="1" applyBorder="1" applyAlignment="1">
      <alignment vertical="center" wrapText="1"/>
    </xf>
    <xf numFmtId="0" fontId="4" fillId="9" borderId="1" xfId="0" applyFont="1" applyFill="1" applyBorder="1" applyAlignment="1">
      <alignment vertical="center" wrapText="1"/>
    </xf>
    <xf numFmtId="0" fontId="4" fillId="10" borderId="3" xfId="0" applyFont="1" applyFill="1" applyBorder="1" applyAlignment="1">
      <alignment vertical="center" wrapText="1"/>
    </xf>
    <xf numFmtId="0" fontId="4" fillId="10" borderId="1" xfId="0" applyFont="1" applyFill="1" applyBorder="1" applyAlignment="1">
      <alignment vertical="center" wrapText="1"/>
    </xf>
    <xf numFmtId="0" fontId="4" fillId="11" borderId="3" xfId="0" applyFont="1" applyFill="1" applyBorder="1" applyAlignment="1">
      <alignment vertical="center" wrapText="1"/>
    </xf>
    <xf numFmtId="0" fontId="4" fillId="11" borderId="1" xfId="0" applyFont="1" applyFill="1" applyBorder="1" applyAlignment="1">
      <alignment vertical="center" wrapText="1"/>
    </xf>
    <xf numFmtId="0" fontId="4" fillId="12" borderId="3" xfId="0" applyFont="1" applyFill="1" applyBorder="1" applyAlignment="1">
      <alignment vertical="center" wrapText="1"/>
    </xf>
    <xf numFmtId="0" fontId="4" fillId="12" borderId="1" xfId="0" applyFont="1" applyFill="1" applyBorder="1" applyAlignment="1">
      <alignment vertical="center" wrapText="1"/>
    </xf>
    <xf numFmtId="0" fontId="4" fillId="8" borderId="3" xfId="0" applyFont="1" applyFill="1" applyBorder="1" applyAlignment="1">
      <alignment vertical="center" wrapText="1"/>
    </xf>
    <xf numFmtId="0" fontId="4" fillId="13" borderId="3" xfId="0" applyFont="1" applyFill="1" applyBorder="1" applyAlignment="1">
      <alignment vertical="center" wrapText="1"/>
    </xf>
    <xf numFmtId="0" fontId="4" fillId="13" borderId="1" xfId="0" applyFont="1" applyFill="1" applyBorder="1" applyAlignment="1">
      <alignment vertical="center" wrapText="1"/>
    </xf>
    <xf numFmtId="0" fontId="3" fillId="2" borderId="0" xfId="0" applyFont="1" applyFill="1" applyAlignment="1">
      <alignment wrapText="1"/>
    </xf>
    <xf numFmtId="0" fontId="3" fillId="2" borderId="0" xfId="0" applyFont="1" applyFill="1" applyAlignment="1">
      <alignment horizontal="center" wrapText="1"/>
    </xf>
    <xf numFmtId="0" fontId="3" fillId="2" borderId="7" xfId="0" applyFont="1" applyFill="1" applyBorder="1" applyAlignment="1">
      <alignment wrapText="1"/>
    </xf>
    <xf numFmtId="0" fontId="8" fillId="0" borderId="7" xfId="0" applyFont="1" applyBorder="1" applyAlignment="1">
      <alignment vertical="top" wrapText="1"/>
    </xf>
    <xf numFmtId="0" fontId="8" fillId="0" borderId="10" xfId="0" applyFont="1" applyBorder="1" applyAlignment="1">
      <alignment vertical="top"/>
    </xf>
    <xf numFmtId="165" fontId="8" fillId="0" borderId="11" xfId="0" applyNumberFormat="1" applyFont="1" applyBorder="1" applyAlignment="1">
      <alignment vertical="top"/>
    </xf>
    <xf numFmtId="0" fontId="8" fillId="0" borderId="11" xfId="0" applyFont="1" applyBorder="1" applyAlignment="1">
      <alignment vertical="top"/>
    </xf>
    <xf numFmtId="0" fontId="8" fillId="0" borderId="11" xfId="0" applyFont="1" applyBorder="1" applyAlignment="1">
      <alignment horizontal="right" vertical="top"/>
    </xf>
    <xf numFmtId="0" fontId="8" fillId="0" borderId="11" xfId="0" applyFont="1" applyBorder="1" applyAlignment="1">
      <alignment horizontal="left" vertical="top"/>
    </xf>
    <xf numFmtId="0" fontId="8" fillId="0" borderId="12" xfId="0" applyFont="1" applyBorder="1" applyAlignment="1">
      <alignment vertical="top"/>
    </xf>
    <xf numFmtId="164" fontId="8" fillId="0" borderId="0" xfId="0" applyNumberFormat="1" applyFont="1" applyAlignment="1">
      <alignment horizontal="right" vertical="top" wrapText="1"/>
    </xf>
    <xf numFmtId="0" fontId="8" fillId="0" borderId="0" xfId="0" applyFont="1" applyAlignment="1">
      <alignment vertical="top" wrapText="1"/>
    </xf>
    <xf numFmtId="0" fontId="9" fillId="0" borderId="0" xfId="0" applyFont="1" applyAlignment="1">
      <alignment vertical="top" wrapText="1"/>
    </xf>
    <xf numFmtId="0" fontId="8" fillId="0" borderId="0" xfId="0" applyFont="1" applyAlignment="1">
      <alignment horizontal="center" vertical="top" wrapText="1"/>
    </xf>
    <xf numFmtId="0" fontId="8" fillId="0" borderId="0" xfId="0" applyFont="1" applyAlignment="1">
      <alignment horizontal="right" vertical="top" wrapText="1"/>
    </xf>
    <xf numFmtId="0" fontId="10" fillId="0" borderId="0" xfId="0" applyFont="1" applyAlignment="1">
      <alignment horizontal="left" vertical="top" wrapText="1"/>
    </xf>
    <xf numFmtId="0" fontId="0" fillId="0" borderId="0" xfId="0" applyAlignment="1">
      <alignment wrapText="1"/>
    </xf>
    <xf numFmtId="0" fontId="8" fillId="0" borderId="0" xfId="0" applyFont="1" applyAlignment="1">
      <alignment horizontal="left" vertical="top" wrapText="1"/>
    </xf>
    <xf numFmtId="166" fontId="8" fillId="0" borderId="0" xfId="0" applyNumberFormat="1" applyFont="1" applyAlignment="1">
      <alignment horizontal="right" vertical="top" wrapText="1"/>
    </xf>
    <xf numFmtId="0" fontId="14" fillId="0" borderId="0" xfId="1" applyFont="1" applyAlignment="1">
      <alignment horizontal="left" vertical="top" wrapText="1"/>
    </xf>
    <xf numFmtId="0" fontId="13" fillId="0" borderId="0" xfId="1" applyAlignment="1">
      <alignment horizontal="left" vertical="top" wrapText="1"/>
    </xf>
    <xf numFmtId="0" fontId="15" fillId="0" borderId="0" xfId="1" applyFont="1" applyAlignment="1">
      <alignment horizontal="left" vertical="top" wrapText="1"/>
    </xf>
    <xf numFmtId="0" fontId="13" fillId="0" borderId="0" xfId="1" applyAlignment="1">
      <alignment wrapText="1"/>
    </xf>
    <xf numFmtId="0" fontId="4" fillId="13" borderId="5" xfId="0" applyFont="1" applyFill="1" applyBorder="1" applyAlignment="1">
      <alignment vertical="center" wrapText="1"/>
    </xf>
    <xf numFmtId="0" fontId="5" fillId="13" borderId="2" xfId="0" applyFont="1" applyFill="1" applyBorder="1"/>
    <xf numFmtId="0" fontId="5" fillId="13" borderId="9" xfId="0" applyFont="1" applyFill="1" applyBorder="1"/>
    <xf numFmtId="0" fontId="7" fillId="13" borderId="5" xfId="0" applyFont="1" applyFill="1" applyBorder="1" applyAlignment="1">
      <alignment vertical="center"/>
    </xf>
    <xf numFmtId="0" fontId="4" fillId="3" borderId="3" xfId="0" applyFont="1" applyFill="1" applyBorder="1" applyAlignment="1">
      <alignment horizontal="left" vertical="center" wrapText="1"/>
    </xf>
    <xf numFmtId="0" fontId="5" fillId="0" borderId="3" xfId="0" applyFont="1" applyBorder="1"/>
    <xf numFmtId="0" fontId="5" fillId="0" borderId="8" xfId="0" applyFont="1" applyBorder="1"/>
    <xf numFmtId="0" fontId="7" fillId="3" borderId="5" xfId="0" applyFont="1" applyFill="1" applyBorder="1" applyAlignment="1">
      <alignment vertical="center"/>
    </xf>
    <xf numFmtId="0" fontId="5" fillId="0" borderId="2" xfId="0" applyFont="1" applyBorder="1"/>
    <xf numFmtId="0" fontId="5" fillId="0" borderId="9" xfId="0" applyFont="1" applyBorder="1"/>
    <xf numFmtId="0" fontId="4" fillId="8" borderId="3" xfId="0" applyFont="1" applyFill="1" applyBorder="1" applyAlignment="1">
      <alignment vertical="center" wrapText="1"/>
    </xf>
    <xf numFmtId="0" fontId="7" fillId="8" borderId="5" xfId="0" applyFont="1" applyFill="1" applyBorder="1" applyAlignment="1">
      <alignment vertical="center"/>
    </xf>
    <xf numFmtId="0" fontId="4" fillId="9" borderId="5" xfId="0" applyFont="1" applyFill="1" applyBorder="1" applyAlignment="1">
      <alignment vertical="center" wrapText="1"/>
    </xf>
    <xf numFmtId="0" fontId="7" fillId="9" borderId="5" xfId="0" applyFont="1" applyFill="1" applyBorder="1" applyAlignment="1">
      <alignment vertical="center"/>
    </xf>
    <xf numFmtId="0" fontId="7" fillId="12" borderId="5" xfId="0" applyFont="1" applyFill="1" applyBorder="1" applyAlignment="1">
      <alignment vertical="center"/>
    </xf>
    <xf numFmtId="0" fontId="7" fillId="11" borderId="5" xfId="0" applyFont="1" applyFill="1" applyBorder="1" applyAlignment="1">
      <alignment vertical="center"/>
    </xf>
    <xf numFmtId="0" fontId="4" fillId="12" borderId="5" xfId="0" applyFont="1" applyFill="1" applyBorder="1" applyAlignment="1">
      <alignment vertical="center" wrapText="1"/>
    </xf>
    <xf numFmtId="0" fontId="4" fillId="10" borderId="5" xfId="0" applyFont="1" applyFill="1" applyBorder="1" applyAlignment="1">
      <alignment vertical="center" wrapText="1"/>
    </xf>
    <xf numFmtId="0" fontId="7" fillId="10" borderId="5" xfId="0" applyFont="1" applyFill="1" applyBorder="1" applyAlignment="1">
      <alignment vertical="center"/>
    </xf>
    <xf numFmtId="0" fontId="4" fillId="11" borderId="5" xfId="0" applyFont="1" applyFill="1" applyBorder="1" applyAlignment="1">
      <alignment vertical="center" wrapText="1"/>
    </xf>
    <xf numFmtId="0" fontId="11" fillId="6" borderId="0" xfId="0" applyFont="1" applyFill="1" applyAlignment="1">
      <alignment vertical="top" wrapText="1"/>
    </xf>
    <xf numFmtId="0" fontId="0" fillId="0" borderId="0" xfId="0"/>
    <xf numFmtId="0" fontId="5" fillId="7" borderId="0" xfId="0" applyFont="1" applyFill="1" applyAlignment="1">
      <alignment horizontal="center" vertical="center" wrapText="1"/>
    </xf>
    <xf numFmtId="0" fontId="4" fillId="14" borderId="5" xfId="0" applyFont="1" applyFill="1" applyBorder="1" applyAlignment="1">
      <alignment vertical="center" wrapText="1"/>
    </xf>
    <xf numFmtId="0" fontId="5" fillId="14" borderId="2" xfId="0" applyFont="1" applyFill="1" applyBorder="1"/>
    <xf numFmtId="0" fontId="5" fillId="14" borderId="9" xfId="0" applyFont="1" applyFill="1" applyBorder="1"/>
    <xf numFmtId="0" fontId="0" fillId="14" borderId="0" xfId="0" applyFill="1"/>
    <xf numFmtId="0" fontId="4" fillId="14" borderId="3" xfId="0" applyFont="1" applyFill="1" applyBorder="1" applyAlignment="1">
      <alignment vertical="center" wrapText="1"/>
    </xf>
    <xf numFmtId="0" fontId="7" fillId="14" borderId="5" xfId="0" applyFont="1" applyFill="1" applyBorder="1" applyAlignment="1">
      <alignment vertical="center"/>
    </xf>
    <xf numFmtId="0" fontId="4" fillId="14" borderId="1" xfId="0" applyFont="1" applyFill="1" applyBorder="1" applyAlignment="1">
      <alignment vertical="center" wrapText="1"/>
    </xf>
  </cellXfs>
  <cellStyles count="2">
    <cellStyle name="Hyperlink" xfId="1" builtinId="8"/>
    <cellStyle name="Normal" xfId="0" builtinId="0"/>
  </cellStyles>
  <dxfs count="44">
    <dxf>
      <font>
        <b/>
        <color rgb="FF000000"/>
      </font>
      <fill>
        <patternFill patternType="solid">
          <fgColor rgb="FF93C47D"/>
          <bgColor rgb="FF93C47D"/>
        </patternFill>
      </fill>
    </dxf>
    <dxf>
      <font>
        <b/>
        <color rgb="FFFFFFFF"/>
      </font>
      <fill>
        <patternFill patternType="solid">
          <fgColor rgb="FFFF0000"/>
          <bgColor rgb="FFFF0000"/>
        </patternFill>
      </fill>
    </dxf>
    <dxf>
      <fill>
        <patternFill patternType="solid">
          <fgColor rgb="FFD0E0E3"/>
          <bgColor rgb="FFD0E0E3"/>
        </patternFill>
      </fill>
    </dxf>
    <dxf>
      <fill>
        <patternFill patternType="solid">
          <fgColor rgb="FFFFF2CC"/>
          <bgColor rgb="FFFFF2CC"/>
        </patternFill>
      </fill>
    </dxf>
    <dxf>
      <fill>
        <patternFill patternType="solid">
          <fgColor rgb="FFFCE5CD"/>
          <bgColor rgb="FFFCE5CD"/>
        </patternFill>
      </fill>
    </dxf>
    <dxf>
      <fill>
        <patternFill patternType="solid">
          <fgColor rgb="FFFCE8B2"/>
          <bgColor rgb="FFFCE8B2"/>
        </patternFill>
      </fill>
    </dxf>
    <dxf>
      <fill>
        <patternFill patternType="solid">
          <fgColor rgb="FFF4C7C3"/>
          <bgColor rgb="FFF4C7C3"/>
        </patternFill>
      </fill>
    </dxf>
    <dxf>
      <fill>
        <patternFill patternType="solid">
          <fgColor rgb="FFF4C7C3"/>
          <bgColor rgb="FFF4C7C3"/>
        </patternFill>
      </fill>
    </dxf>
    <dxf>
      <fill>
        <patternFill patternType="solid">
          <fgColor rgb="FFF6B26B"/>
          <bgColor rgb="FFF6B26B"/>
        </patternFill>
      </fill>
    </dxf>
    <dxf>
      <fill>
        <patternFill patternType="solid">
          <fgColor rgb="FFFFD966"/>
          <bgColor rgb="FFFFD966"/>
        </patternFill>
      </fill>
    </dxf>
    <dxf>
      <font>
        <b/>
        <color rgb="FF000000"/>
      </font>
      <fill>
        <patternFill patternType="solid">
          <fgColor rgb="FF93C47D"/>
          <bgColor rgb="FF93C47D"/>
        </patternFill>
      </fill>
    </dxf>
    <dxf>
      <font>
        <b/>
        <color rgb="FFFFFFFF"/>
      </font>
      <fill>
        <patternFill patternType="solid">
          <fgColor rgb="FFFF0000"/>
          <bgColor rgb="FFFF0000"/>
        </patternFill>
      </fill>
    </dxf>
    <dxf>
      <fill>
        <patternFill patternType="solid">
          <fgColor rgb="FFD0E0E3"/>
          <bgColor rgb="FFD0E0E3"/>
        </patternFill>
      </fill>
    </dxf>
    <dxf>
      <fill>
        <patternFill patternType="solid">
          <fgColor rgb="FFFFF2CC"/>
          <bgColor rgb="FFFFF2CC"/>
        </patternFill>
      </fill>
    </dxf>
    <dxf>
      <fill>
        <patternFill patternType="solid">
          <fgColor rgb="FFFCE5CD"/>
          <bgColor rgb="FFFCE5CD"/>
        </patternFill>
      </fill>
    </dxf>
    <dxf>
      <fill>
        <patternFill patternType="solid">
          <fgColor rgb="FFFCE8B2"/>
          <bgColor rgb="FFFCE8B2"/>
        </patternFill>
      </fill>
    </dxf>
    <dxf>
      <fill>
        <patternFill patternType="solid">
          <fgColor rgb="FFF4C7C3"/>
          <bgColor rgb="FFF4C7C3"/>
        </patternFill>
      </fill>
    </dxf>
    <dxf>
      <fill>
        <patternFill patternType="solid">
          <fgColor rgb="FFF4C7C3"/>
          <bgColor rgb="FFF4C7C3"/>
        </patternFill>
      </fill>
    </dxf>
    <dxf>
      <font>
        <b/>
        <color rgb="FF000000"/>
      </font>
      <fill>
        <patternFill patternType="solid">
          <fgColor rgb="FF93C47D"/>
          <bgColor rgb="FF93C47D"/>
        </patternFill>
      </fill>
    </dxf>
    <dxf>
      <font>
        <b/>
        <color rgb="FFFFFFFF"/>
      </font>
      <fill>
        <patternFill patternType="solid">
          <fgColor rgb="FFFF0000"/>
          <bgColor rgb="FFFF0000"/>
        </patternFill>
      </fill>
    </dxf>
    <dxf>
      <fill>
        <patternFill patternType="solid">
          <fgColor rgb="FFD0E0E3"/>
          <bgColor rgb="FFD0E0E3"/>
        </patternFill>
      </fill>
    </dxf>
    <dxf>
      <fill>
        <patternFill patternType="solid">
          <fgColor rgb="FFFFF2CC"/>
          <bgColor rgb="FFFFF2CC"/>
        </patternFill>
      </fill>
    </dxf>
    <dxf>
      <fill>
        <patternFill patternType="solid">
          <fgColor rgb="FFFCE5CD"/>
          <bgColor rgb="FFFCE5CD"/>
        </patternFill>
      </fill>
    </dxf>
    <dxf>
      <fill>
        <patternFill patternType="solid">
          <fgColor rgb="FFF6B26B"/>
          <bgColor rgb="FFF6B26B"/>
        </patternFill>
      </fill>
    </dxf>
    <dxf>
      <fill>
        <patternFill patternType="solid">
          <fgColor rgb="FFFFD966"/>
          <bgColor rgb="FFFFD966"/>
        </patternFill>
      </fill>
    </dxf>
    <dxf>
      <fill>
        <patternFill patternType="solid">
          <fgColor rgb="FFFCE8B2"/>
          <bgColor rgb="FFFCE8B2"/>
        </patternFill>
      </fill>
    </dxf>
    <dxf>
      <fill>
        <patternFill patternType="solid">
          <fgColor rgb="FFF4C7C3"/>
          <bgColor rgb="FFF4C7C3"/>
        </patternFill>
      </fill>
    </dxf>
    <dxf>
      <fill>
        <patternFill patternType="solid">
          <fgColor rgb="FFF4C7C3"/>
          <bgColor rgb="FFF4C7C3"/>
        </patternFill>
      </fill>
    </dxf>
    <dxf>
      <fill>
        <patternFill patternType="solid">
          <fgColor rgb="FFF4C7C3"/>
          <bgColor rgb="FFF4C7C3"/>
        </patternFill>
      </fill>
    </dxf>
    <dxf>
      <fill>
        <patternFill patternType="solid">
          <fgColor rgb="FFF4C7C3"/>
          <bgColor rgb="FFF4C7C3"/>
        </patternFill>
      </fill>
    </dxf>
    <dxf>
      <fill>
        <patternFill patternType="solid">
          <fgColor rgb="FFF4C7C3"/>
          <bgColor rgb="FFF4C7C3"/>
        </patternFill>
      </fill>
    </dxf>
    <dxf>
      <fill>
        <patternFill patternType="solid">
          <fgColor rgb="FFF4C7C3"/>
          <bgColor rgb="FFF4C7C3"/>
        </patternFill>
      </fill>
    </dxf>
    <dxf>
      <font>
        <b/>
        <color rgb="FF000000"/>
      </font>
      <fill>
        <patternFill patternType="solid">
          <fgColor rgb="FF93C47D"/>
          <bgColor rgb="FF93C47D"/>
        </patternFill>
      </fill>
    </dxf>
    <dxf>
      <font>
        <b/>
        <color rgb="FFFFFFFF"/>
      </font>
      <fill>
        <patternFill patternType="solid">
          <fgColor rgb="FFFF0000"/>
          <bgColor rgb="FFFF0000"/>
        </patternFill>
      </fill>
    </dxf>
    <dxf>
      <fill>
        <patternFill patternType="solid">
          <fgColor rgb="FFD0E0E3"/>
          <bgColor rgb="FFD0E0E3"/>
        </patternFill>
      </fill>
    </dxf>
    <dxf>
      <fill>
        <patternFill patternType="solid">
          <fgColor rgb="FFFFF2CC"/>
          <bgColor rgb="FFFFF2CC"/>
        </patternFill>
      </fill>
    </dxf>
    <dxf>
      <fill>
        <patternFill patternType="solid">
          <fgColor rgb="FFFCE5CD"/>
          <bgColor rgb="FFFCE5CD"/>
        </patternFill>
      </fill>
    </dxf>
    <dxf>
      <fill>
        <patternFill patternType="solid">
          <fgColor rgb="FFF6B26B"/>
          <bgColor rgb="FFF6B26B"/>
        </patternFill>
      </fill>
    </dxf>
    <dxf>
      <fill>
        <patternFill patternType="solid">
          <fgColor rgb="FFFFD966"/>
          <bgColor rgb="FFFFD966"/>
        </patternFill>
      </fill>
    </dxf>
    <dxf>
      <font>
        <b/>
        <color rgb="FF000000"/>
      </font>
      <fill>
        <patternFill patternType="solid">
          <fgColor rgb="FF93C47D"/>
          <bgColor rgb="FF93C47D"/>
        </patternFill>
      </fill>
    </dxf>
    <dxf>
      <font>
        <b/>
        <color rgb="FFFFFFFF"/>
      </font>
      <fill>
        <patternFill patternType="solid">
          <fgColor rgb="FFFF0000"/>
          <bgColor rgb="FFFF0000"/>
        </patternFill>
      </fill>
    </dxf>
    <dxf>
      <fill>
        <patternFill patternType="solid">
          <fgColor rgb="FFD0E0E3"/>
          <bgColor rgb="FFD0E0E3"/>
        </patternFill>
      </fill>
    </dxf>
    <dxf>
      <fill>
        <patternFill patternType="solid">
          <fgColor rgb="FFFFF2CC"/>
          <bgColor rgb="FFFFF2CC"/>
        </patternFill>
      </fill>
    </dxf>
    <dxf>
      <fill>
        <patternFill patternType="solid">
          <fgColor rgb="FFFCE5CD"/>
          <bgColor rgb="FFFCE5CD"/>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11" Type="http://schemas.openxmlformats.org/officeDocument/2006/relationships/customXml" Target="../customXml/item3.xml"/><Relationship Id="rId5" Type="http://schemas.openxmlformats.org/officeDocument/2006/relationships/styles" Target="styles.xml"/><Relationship Id="rId10" Type="http://schemas.openxmlformats.org/officeDocument/2006/relationships/customXml" Target="../customXml/item2.xml"/><Relationship Id="rId4" Type="http://schemas.openxmlformats.org/officeDocument/2006/relationships/theme" Target="theme/theme1.xml"/><Relationship Id="rId9" Type="http://schemas.openxmlformats.org/officeDocument/2006/relationships/customXml" Target="../customXml/item1.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github.com/BredaUniversityADSAI/2025-26b-fai2-adsai-MaciejCzerniak243552/blob/62773e9e842c67a2a3ca198d81154ed0d85a3169/self_study/w2/6.%20Object%20Detection%20with%20DL.ipynb" TargetMode="External"/><Relationship Id="rId13" Type="http://schemas.openxmlformats.org/officeDocument/2006/relationships/hyperlink" Target="https://github.com/BredaUniversityADSAI/2025-26b-fai2-adsai-MaciejCzerniak243552/blob/447483f5a2955471ec98796da1a625ba4d2f811e/Task_3/task_3.ipynb" TargetMode="External"/><Relationship Id="rId18" Type="http://schemas.openxmlformats.org/officeDocument/2006/relationships/hyperlink" Target="https://github.com/BredaUniversityADSAI/2025-26b-fai2-adsai-MaciejCzerniak243552/tree/c067849ee0eff437cdd23cd4c947107f20489046/Task_1/Part%202/17769-17670%20-%20Samara%20Abdelrahman%20A.%20H.%20Samara%20-%2014%20November%202025%201346" TargetMode="External"/><Relationship Id="rId26" Type="http://schemas.openxmlformats.org/officeDocument/2006/relationships/hyperlink" Target="https://github.com/BredaUniversityADSAI/2025-26b-fai2-adsai-MaciejCzerniak243552/blob/9741f58710fc02dc03dd1c6d6e1d644911cf66fb/Task_2/task_2.ipynb" TargetMode="External"/><Relationship Id="rId3" Type="http://schemas.openxmlformats.org/officeDocument/2006/relationships/hyperlink" Target="https://github.com/BredaUniversityADSAI/2025-26b-fai2-adsai-MaciejCzerniak243552/blob/62773e9e842c67a2a3ca198d81154ed0d85a3169/self_study/w1/1.%20Basics.ipynb" TargetMode="External"/><Relationship Id="rId21" Type="http://schemas.openxmlformats.org/officeDocument/2006/relationships/hyperlink" Target="https://github.com/BredaUniversityADSAI/2025-26b-fai2-adsai-MaciejCzerniak243552/blob/c067849ee0eff437cdd23cd4c947107f20489046/Task_4/task_4.ipynb" TargetMode="External"/><Relationship Id="rId7" Type="http://schemas.openxmlformats.org/officeDocument/2006/relationships/hyperlink" Target="https://github.com/BredaUniversityADSAI/2025-26b-fai2-adsai-MaciejCzerniak243552/blob/9741f58710fc02dc03dd1c6d6e1d644911cf66fb/Task_2/task_2.ipynb" TargetMode="External"/><Relationship Id="rId12" Type="http://schemas.openxmlformats.org/officeDocument/2006/relationships/hyperlink" Target="https://github.com/BredaUniversityADSAI/2025-26b-fai2-adsai-MaciejCzerniak243552/blob/447483f5a2955471ec98796da1a625ba4d2f811e/Task_3/task_3.ipynb" TargetMode="External"/><Relationship Id="rId17" Type="http://schemas.openxmlformats.org/officeDocument/2006/relationships/hyperlink" Target="https://github.com/BredaUniversityADSAI/2025-26b-fai2-adsai-MaciejCzerniak243552/tree/c067849ee0eff437cdd23cd4c947107f20489046/Task_1/Part%201" TargetMode="External"/><Relationship Id="rId25" Type="http://schemas.openxmlformats.org/officeDocument/2006/relationships/hyperlink" Target="https://github.com/BredaUniversityADSAI/2025-26b-fai2-adsai-MaciejCzerniak243552/blob/c067849ee0eff437cdd23cd4c947107f20489046/self_study/w2/7.%20Image%20segmentation%20with%20DL.ipynb" TargetMode="External"/><Relationship Id="rId2" Type="http://schemas.openxmlformats.org/officeDocument/2006/relationships/hyperlink" Target="https://github.com/BredaUniversityADSAI/2025-26b-fai2-adsai-MaciejCzerniak243552/tree/789491ff1192860a209c9fda587e39433d98bc51/Task_1" TargetMode="External"/><Relationship Id="rId16" Type="http://schemas.openxmlformats.org/officeDocument/2006/relationships/hyperlink" Target="https://github.com/BredaUniversityADSAI/2025-26b-fai2-adsai-MaciejCzerniak243552/tree/c067849ee0eff437cdd23cd4c947107f20489046/Task_1/Part%201" TargetMode="External"/><Relationship Id="rId20" Type="http://schemas.openxmlformats.org/officeDocument/2006/relationships/hyperlink" Target="https://github.com/BredaUniversityADSAI/2025-26b-fai2-adsai-MaciejCzerniak243552/blob/c067849ee0eff437cdd23cd4c947107f20489046/Task_4/task_4.ipynb" TargetMode="External"/><Relationship Id="rId1" Type="http://schemas.openxmlformats.org/officeDocument/2006/relationships/hyperlink" Target="https://tangible-landscape.github.io/" TargetMode="External"/><Relationship Id="rId6" Type="http://schemas.openxmlformats.org/officeDocument/2006/relationships/hyperlink" Target="https://github.com/BredaUniversityADSAI/2025-26b-fai2-adsai-MaciejCzerniak243552/blob/main/self_study/w1/3.%20Morphological%20Operations.ipynb" TargetMode="External"/><Relationship Id="rId11" Type="http://schemas.openxmlformats.org/officeDocument/2006/relationships/hyperlink" Target="https://github.com/BredaUniversityADSAI/2025-26b-fai2-adsai-MaciejCzerniak243552/blob/447483f5a2955471ec98796da1a625ba4d2f811e/Task_3/task_3.ipynb" TargetMode="External"/><Relationship Id="rId24" Type="http://schemas.openxmlformats.org/officeDocument/2006/relationships/hyperlink" Target="https://github.com/BredaUniversityADSAI/2025-26b-fai2-adsai-MaciejCzerniak243552/blob/c067849ee0eff437cdd23cd4c947107f20489046/self_study/w2/8.%20Multiclass%20Image%20Segmentation%20with%20DL.ipynb" TargetMode="External"/><Relationship Id="rId5" Type="http://schemas.openxmlformats.org/officeDocument/2006/relationships/hyperlink" Target="https://github.com/BredaUniversityADSAI/2025-26b-fai2-adsai-MaciejCzerniak243552/blob/62773e9e842c67a2a3ca198d81154ed0d85a3169/self_study/w1/2.%20Thresholding%20and%20Filtering.ipynb" TargetMode="External"/><Relationship Id="rId15" Type="http://schemas.openxmlformats.org/officeDocument/2006/relationships/hyperlink" Target="https://github.com/BredaUniversityADSAI/2025-26b-fai2-adsai-MaciejCzerniak243552/blob/c067849ee0eff437cdd23cd4c947107f20489046/self_study/w2/6.%20Object%20Detection%20with%20DL.ipynb" TargetMode="External"/><Relationship Id="rId23" Type="http://schemas.openxmlformats.org/officeDocument/2006/relationships/hyperlink" Target="https://github.com/BredaUniversityADSAI/2025-26b-fai2-adsai-MaciejCzerniak243552/blob/c067849ee0eff437cdd23cd4c947107f20489046/Task_4/task_4.ipynb" TargetMode="External"/><Relationship Id="rId28" Type="http://schemas.openxmlformats.org/officeDocument/2006/relationships/printerSettings" Target="../printerSettings/printerSettings1.bin"/><Relationship Id="rId10" Type="http://schemas.openxmlformats.org/officeDocument/2006/relationships/hyperlink" Target="https://github.com/BredaUniversityADSAI/2025-26b-fai2-adsai-MaciejCzerniak243552/blob/62773e9e842c67a2a3ca198d81154ed0d85a3169/self_study/w1/5.%20Image%20Segmentation.ipynb" TargetMode="External"/><Relationship Id="rId19" Type="http://schemas.openxmlformats.org/officeDocument/2006/relationships/hyperlink" Target="https://github.com/BredaUniversityADSAI/2025-26b-fai2-adsai-MaciejCzerniak243552/tree/c067849ee0eff437cdd23cd4c947107f20489046/Task_1/Part%202/17769-17670%20-%20Samara%20Abdelrahman%20A.%20H.%20Samara%20-%2014%20November%202025%201346" TargetMode="External"/><Relationship Id="rId4" Type="http://schemas.openxmlformats.org/officeDocument/2006/relationships/hyperlink" Target="https://github.com/BredaUniversityADSAI/2025-26b-fai2-adsai-MaciejCzerniak243552/tree/789491ff1192860a209c9fda587e39433d98bc51/Task_1" TargetMode="External"/><Relationship Id="rId9" Type="http://schemas.openxmlformats.org/officeDocument/2006/relationships/hyperlink" Target="https://github.com/BredaUniversityADSAI/2025-26b-fai2-adsai-MaciejCzerniak243552/blob/62773e9e842c67a2a3ca198d81154ed0d85a3169/self_study/w2/6.%20Object%20Detection%20with%20DL.ipynb" TargetMode="External"/><Relationship Id="rId14" Type="http://schemas.openxmlformats.org/officeDocument/2006/relationships/hyperlink" Target="https://github.com/BredaUniversityADSAI/2025-26b-fai2-adsai-MaciejCzerniak243552/blob/c067849ee0eff437cdd23cd4c947107f20489046/self_study/w2/7.%20Image%20segmentation%20with%20DL.ipynb" TargetMode="External"/><Relationship Id="rId22" Type="http://schemas.openxmlformats.org/officeDocument/2006/relationships/hyperlink" Target="https://github.com/BredaUniversityADSAI/2025-26b-fai2-adsai-MaciejCzerniak243552/blob/c067849ee0eff437cdd23cd4c947107f20489046/Task_4/task_4.ipynb" TargetMode="External"/><Relationship Id="rId27" Type="http://schemas.openxmlformats.org/officeDocument/2006/relationships/hyperlink" Target="https://github.com/BredaUniversityADSAI/2025-26b-fai2-adsai-MaciejCzerniak243552/blob/c067849ee0eff437cdd23cd4c947107f20489046/Task_4/task_4.ipynb"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pageSetUpPr fitToPage="1"/>
  </sheetPr>
  <dimension ref="A1:K261"/>
  <sheetViews>
    <sheetView tabSelected="1" topLeftCell="B1" zoomScaleNormal="100" workbookViewId="0">
      <pane ySplit="1" topLeftCell="A86" activePane="bottomLeft" state="frozen"/>
      <selection pane="bottomLeft" activeCell="K87" sqref="K87"/>
    </sheetView>
  </sheetViews>
  <sheetFormatPr defaultColWidth="14.44140625" defaultRowHeight="15" customHeight="1" x14ac:dyDescent="0.25"/>
  <cols>
    <col min="1" max="1" width="9.77734375" customWidth="1"/>
    <col min="2" max="2" width="11.33203125" customWidth="1"/>
    <col min="3" max="3" width="16.33203125" customWidth="1"/>
    <col min="4" max="4" width="43.44140625" customWidth="1"/>
    <col min="5" max="6" width="15.44140625" customWidth="1"/>
    <col min="7" max="7" width="8.6640625" customWidth="1"/>
    <col min="8" max="8" width="8.44140625" customWidth="1"/>
    <col min="9" max="9" width="6.44140625" customWidth="1"/>
    <col min="10" max="10" width="18.44140625" customWidth="1"/>
    <col min="11" max="11" width="57" customWidth="1"/>
  </cols>
  <sheetData>
    <row r="1" spans="1:11" ht="24" x14ac:dyDescent="0.25">
      <c r="A1" s="32" t="s">
        <v>0</v>
      </c>
      <c r="B1" s="32" t="s">
        <v>1</v>
      </c>
      <c r="C1" s="32" t="s">
        <v>2</v>
      </c>
      <c r="D1" s="32" t="s">
        <v>3</v>
      </c>
      <c r="E1" s="33" t="s">
        <v>4</v>
      </c>
      <c r="F1" s="33" t="s">
        <v>5</v>
      </c>
      <c r="G1" s="33" t="s">
        <v>6</v>
      </c>
      <c r="H1" s="33" t="s">
        <v>7</v>
      </c>
      <c r="I1" s="33" t="s">
        <v>8</v>
      </c>
      <c r="J1" s="33" t="s">
        <v>9</v>
      </c>
      <c r="K1" s="34" t="s">
        <v>10</v>
      </c>
    </row>
    <row r="2" spans="1:11" ht="18.75" customHeight="1" x14ac:dyDescent="0.25">
      <c r="A2" s="59" t="s">
        <v>11</v>
      </c>
      <c r="B2" s="60"/>
      <c r="C2" s="60"/>
      <c r="D2" s="60"/>
      <c r="E2" s="60"/>
      <c r="F2" s="60"/>
      <c r="G2" s="60"/>
      <c r="H2" s="60"/>
      <c r="I2" s="60"/>
      <c r="J2" s="60"/>
      <c r="K2" s="61"/>
    </row>
    <row r="3" spans="1:11" ht="13.2" x14ac:dyDescent="0.25">
      <c r="A3" s="5" t="s">
        <v>12</v>
      </c>
      <c r="B3" s="62" t="s">
        <v>13</v>
      </c>
      <c r="C3" s="63"/>
      <c r="D3" s="63"/>
      <c r="E3" s="63"/>
      <c r="F3" s="63"/>
      <c r="G3" s="63"/>
      <c r="H3" s="63"/>
      <c r="I3" s="63"/>
      <c r="J3" s="63"/>
      <c r="K3" s="64"/>
    </row>
    <row r="4" spans="1:11" ht="27.75" customHeight="1" x14ac:dyDescent="0.25">
      <c r="A4" s="8" t="s">
        <v>14</v>
      </c>
      <c r="B4" s="62" t="s">
        <v>72</v>
      </c>
      <c r="C4" s="63"/>
      <c r="D4" s="63"/>
      <c r="E4" s="63"/>
      <c r="F4" s="63"/>
      <c r="G4" s="63"/>
      <c r="H4" s="63"/>
      <c r="I4" s="63"/>
      <c r="J4" s="63"/>
      <c r="K4" s="64"/>
    </row>
    <row r="5" spans="1:11" s="48" customFormat="1" ht="24" x14ac:dyDescent="0.25">
      <c r="A5" s="42">
        <v>45971</v>
      </c>
      <c r="B5" s="43" t="s">
        <v>52</v>
      </c>
      <c r="C5" s="44" t="s">
        <v>67</v>
      </c>
      <c r="D5" s="43" t="s">
        <v>67</v>
      </c>
      <c r="E5" s="45" t="s">
        <v>44</v>
      </c>
      <c r="F5" s="45"/>
      <c r="G5" s="46">
        <v>1.25</v>
      </c>
      <c r="H5" s="46">
        <v>1.25</v>
      </c>
      <c r="I5" s="46">
        <f t="shared" ref="I5:I22" si="0">H5-G5</f>
        <v>0</v>
      </c>
      <c r="J5" s="47"/>
      <c r="K5" s="35" t="s">
        <v>68</v>
      </c>
    </row>
    <row r="6" spans="1:11" s="48" customFormat="1" ht="24" x14ac:dyDescent="0.25">
      <c r="B6" s="43" t="s">
        <v>52</v>
      </c>
      <c r="C6" s="44" t="s">
        <v>44</v>
      </c>
      <c r="D6" s="43" t="s">
        <v>75</v>
      </c>
      <c r="E6" s="45" t="s">
        <v>44</v>
      </c>
      <c r="F6" s="45" t="s">
        <v>74</v>
      </c>
      <c r="G6" s="46">
        <v>0.25</v>
      </c>
      <c r="H6" s="46">
        <v>0.5</v>
      </c>
      <c r="I6" s="46">
        <f t="shared" si="0"/>
        <v>0.25</v>
      </c>
      <c r="J6" s="47"/>
      <c r="K6" s="35" t="s">
        <v>71</v>
      </c>
    </row>
    <row r="7" spans="1:11" s="48" customFormat="1" ht="13.2" x14ac:dyDescent="0.25">
      <c r="B7" s="43" t="s">
        <v>52</v>
      </c>
      <c r="C7" s="44" t="s">
        <v>69</v>
      </c>
      <c r="D7" s="43" t="s">
        <v>70</v>
      </c>
      <c r="E7" s="45" t="s">
        <v>64</v>
      </c>
      <c r="F7" s="45" t="s">
        <v>76</v>
      </c>
      <c r="G7" s="46">
        <v>3</v>
      </c>
      <c r="H7" s="46">
        <v>3</v>
      </c>
      <c r="I7" s="46">
        <f t="shared" si="0"/>
        <v>0</v>
      </c>
      <c r="J7" s="47"/>
      <c r="K7" s="35"/>
    </row>
    <row r="8" spans="1:11" s="48" customFormat="1" ht="96" x14ac:dyDescent="0.25">
      <c r="B8" s="43" t="s">
        <v>52</v>
      </c>
      <c r="C8" s="44" t="s">
        <v>61</v>
      </c>
      <c r="D8" s="43" t="s">
        <v>73</v>
      </c>
      <c r="E8" s="45" t="s">
        <v>61</v>
      </c>
      <c r="F8" s="45" t="s">
        <v>74</v>
      </c>
      <c r="G8" s="46">
        <v>0.5</v>
      </c>
      <c r="H8" s="46">
        <v>0.5</v>
      </c>
      <c r="I8" s="46">
        <f t="shared" ref="I8" si="1">H8-G8</f>
        <v>0</v>
      </c>
      <c r="J8" s="47"/>
      <c r="K8" s="35" t="s">
        <v>93</v>
      </c>
    </row>
    <row r="9" spans="1:11" s="48" customFormat="1" ht="13.2" x14ac:dyDescent="0.25">
      <c r="B9" s="43" t="s">
        <v>52</v>
      </c>
      <c r="C9" s="44" t="s">
        <v>69</v>
      </c>
      <c r="D9" s="43" t="s">
        <v>90</v>
      </c>
      <c r="E9" s="45" t="s">
        <v>64</v>
      </c>
      <c r="F9" s="45" t="s">
        <v>76</v>
      </c>
      <c r="G9" s="46">
        <v>1</v>
      </c>
      <c r="H9" s="46">
        <v>1</v>
      </c>
      <c r="I9" s="46">
        <f t="shared" si="0"/>
        <v>0</v>
      </c>
      <c r="J9" s="51" t="s">
        <v>91</v>
      </c>
      <c r="K9" s="35"/>
    </row>
    <row r="10" spans="1:11" s="48" customFormat="1" ht="48" x14ac:dyDescent="0.25">
      <c r="A10" s="42">
        <v>45972</v>
      </c>
      <c r="B10" s="43" t="s">
        <v>52</v>
      </c>
      <c r="C10" s="44" t="s">
        <v>78</v>
      </c>
      <c r="D10" s="43" t="s">
        <v>77</v>
      </c>
      <c r="E10" s="45" t="s">
        <v>39</v>
      </c>
      <c r="F10" s="45"/>
      <c r="G10" s="46">
        <v>4</v>
      </c>
      <c r="H10" s="46">
        <v>7</v>
      </c>
      <c r="I10" s="46">
        <f t="shared" si="0"/>
        <v>3</v>
      </c>
      <c r="J10" s="51" t="s">
        <v>89</v>
      </c>
      <c r="K10" s="35" t="s">
        <v>79</v>
      </c>
    </row>
    <row r="11" spans="1:11" s="48" customFormat="1" ht="48" x14ac:dyDescent="0.25">
      <c r="A11" s="42">
        <v>45973</v>
      </c>
      <c r="B11" s="43" t="s">
        <v>52</v>
      </c>
      <c r="C11" s="44" t="s">
        <v>78</v>
      </c>
      <c r="D11" s="43" t="s">
        <v>80</v>
      </c>
      <c r="E11" s="45" t="s">
        <v>39</v>
      </c>
      <c r="F11" s="45"/>
      <c r="G11" s="46">
        <v>4</v>
      </c>
      <c r="H11" s="46">
        <v>12</v>
      </c>
      <c r="I11" s="46">
        <f t="shared" si="0"/>
        <v>8</v>
      </c>
      <c r="J11" s="49"/>
      <c r="K11" s="35" t="s">
        <v>81</v>
      </c>
    </row>
    <row r="12" spans="1:11" s="48" customFormat="1" ht="48" x14ac:dyDescent="0.25">
      <c r="A12" s="42">
        <v>45974</v>
      </c>
      <c r="B12" s="43" t="s">
        <v>52</v>
      </c>
      <c r="C12" s="44" t="s">
        <v>82</v>
      </c>
      <c r="D12" s="43" t="s">
        <v>83</v>
      </c>
      <c r="E12" s="45" t="s">
        <v>64</v>
      </c>
      <c r="F12" s="45" t="s">
        <v>76</v>
      </c>
      <c r="G12" s="46">
        <v>3</v>
      </c>
      <c r="H12" s="46">
        <v>3</v>
      </c>
      <c r="I12" s="46">
        <f t="shared" ref="I12:I15" si="2">H12-G12</f>
        <v>0</v>
      </c>
      <c r="J12" s="47"/>
      <c r="K12" s="35" t="s">
        <v>85</v>
      </c>
    </row>
    <row r="13" spans="1:11" s="48" customFormat="1" ht="13.2" x14ac:dyDescent="0.25">
      <c r="B13" s="43" t="s">
        <v>52</v>
      </c>
      <c r="C13" s="44" t="s">
        <v>82</v>
      </c>
      <c r="D13" s="43" t="s">
        <v>84</v>
      </c>
      <c r="E13" s="45" t="s">
        <v>64</v>
      </c>
      <c r="F13" s="45" t="s">
        <v>76</v>
      </c>
      <c r="G13" s="46">
        <v>4</v>
      </c>
      <c r="H13" s="46">
        <v>4</v>
      </c>
      <c r="I13" s="46">
        <f t="shared" si="2"/>
        <v>0</v>
      </c>
      <c r="J13" s="47"/>
      <c r="K13" s="35"/>
    </row>
    <row r="14" spans="1:11" s="48" customFormat="1" ht="13.2" x14ac:dyDescent="0.25">
      <c r="B14" s="43" t="s">
        <v>52</v>
      </c>
      <c r="C14" s="44" t="s">
        <v>82</v>
      </c>
      <c r="D14" s="43" t="s">
        <v>84</v>
      </c>
      <c r="E14" s="45" t="s">
        <v>64</v>
      </c>
      <c r="F14" s="45" t="s">
        <v>76</v>
      </c>
      <c r="G14" s="46">
        <v>4</v>
      </c>
      <c r="H14" s="46">
        <v>4</v>
      </c>
      <c r="I14" s="46">
        <f t="shared" si="2"/>
        <v>0</v>
      </c>
      <c r="J14" s="47"/>
      <c r="K14" s="35"/>
    </row>
    <row r="15" spans="1:11" s="48" customFormat="1" ht="13.2" x14ac:dyDescent="0.25">
      <c r="A15" s="42">
        <v>45975</v>
      </c>
      <c r="B15" s="43" t="s">
        <v>52</v>
      </c>
      <c r="C15" s="44" t="s">
        <v>69</v>
      </c>
      <c r="D15" s="43" t="s">
        <v>90</v>
      </c>
      <c r="E15" s="45" t="s">
        <v>64</v>
      </c>
      <c r="F15" s="45" t="s">
        <v>76</v>
      </c>
      <c r="G15" s="46">
        <v>3</v>
      </c>
      <c r="H15" s="46">
        <v>3</v>
      </c>
      <c r="I15" s="46">
        <f t="shared" si="2"/>
        <v>0</v>
      </c>
      <c r="J15" s="51" t="s">
        <v>91</v>
      </c>
      <c r="K15" s="35"/>
    </row>
    <row r="16" spans="1:11" s="48" customFormat="1" ht="24" x14ac:dyDescent="0.25">
      <c r="B16" s="43" t="s">
        <v>52</v>
      </c>
      <c r="C16" s="44" t="s">
        <v>82</v>
      </c>
      <c r="D16" s="43" t="s">
        <v>84</v>
      </c>
      <c r="E16" s="45" t="s">
        <v>64</v>
      </c>
      <c r="F16" s="45" t="s">
        <v>76</v>
      </c>
      <c r="G16" s="46">
        <v>2</v>
      </c>
      <c r="H16" s="46">
        <v>2</v>
      </c>
      <c r="I16" s="46">
        <f t="shared" si="0"/>
        <v>0</v>
      </c>
      <c r="J16" s="47"/>
      <c r="K16" s="35" t="s">
        <v>88</v>
      </c>
    </row>
    <row r="17" spans="1:11" s="48" customFormat="1" ht="24" x14ac:dyDescent="0.25">
      <c r="B17" s="43" t="s">
        <v>52</v>
      </c>
      <c r="C17" s="44" t="s">
        <v>92</v>
      </c>
      <c r="D17" s="43" t="s">
        <v>86</v>
      </c>
      <c r="E17" s="45" t="s">
        <v>64</v>
      </c>
      <c r="F17" s="45" t="s">
        <v>76</v>
      </c>
      <c r="G17" s="46">
        <v>2</v>
      </c>
      <c r="H17" s="46">
        <v>2</v>
      </c>
      <c r="I17" s="46">
        <f t="shared" si="0"/>
        <v>0</v>
      </c>
      <c r="J17" s="52" t="s">
        <v>109</v>
      </c>
      <c r="K17" s="35" t="s">
        <v>87</v>
      </c>
    </row>
    <row r="18" spans="1:11" s="48" customFormat="1" ht="13.2" x14ac:dyDescent="0.25">
      <c r="A18" s="42">
        <v>45976</v>
      </c>
      <c r="B18" s="43" t="s">
        <v>52</v>
      </c>
      <c r="C18" s="44" t="s">
        <v>61</v>
      </c>
      <c r="D18" s="43" t="s">
        <v>73</v>
      </c>
      <c r="E18" s="45" t="s">
        <v>61</v>
      </c>
      <c r="F18" s="45" t="s">
        <v>74</v>
      </c>
      <c r="G18" s="46">
        <v>0.5</v>
      </c>
      <c r="H18" s="46">
        <v>0.5</v>
      </c>
      <c r="I18" s="46">
        <f t="shared" si="0"/>
        <v>0</v>
      </c>
      <c r="K18" s="35"/>
    </row>
    <row r="19" spans="1:11" s="48" customFormat="1" ht="26.4" x14ac:dyDescent="0.25">
      <c r="B19" s="43" t="s">
        <v>52</v>
      </c>
      <c r="C19" s="44" t="s">
        <v>92</v>
      </c>
      <c r="D19" s="43" t="s">
        <v>86</v>
      </c>
      <c r="E19" s="45" t="s">
        <v>64</v>
      </c>
      <c r="F19" s="45" t="s">
        <v>76</v>
      </c>
      <c r="G19" s="46">
        <v>1</v>
      </c>
      <c r="H19" s="46">
        <v>1</v>
      </c>
      <c r="I19" s="46">
        <f t="shared" si="0"/>
        <v>0</v>
      </c>
      <c r="J19" s="52" t="s">
        <v>110</v>
      </c>
      <c r="K19" s="35"/>
    </row>
    <row r="20" spans="1:11" s="48" customFormat="1" ht="26.4" x14ac:dyDescent="0.25">
      <c r="A20" s="42">
        <v>45977</v>
      </c>
      <c r="B20" s="43" t="s">
        <v>52</v>
      </c>
      <c r="C20" s="44" t="s">
        <v>92</v>
      </c>
      <c r="D20" s="43" t="s">
        <v>86</v>
      </c>
      <c r="E20" s="45" t="s">
        <v>64</v>
      </c>
      <c r="F20" s="45" t="s">
        <v>76</v>
      </c>
      <c r="G20" s="46">
        <v>0.5</v>
      </c>
      <c r="H20" s="46">
        <v>0.5</v>
      </c>
      <c r="I20" s="46">
        <f t="shared" si="0"/>
        <v>0</v>
      </c>
      <c r="J20" s="52" t="s">
        <v>111</v>
      </c>
      <c r="K20" s="35"/>
    </row>
    <row r="21" spans="1:11" s="48" customFormat="1" ht="84" x14ac:dyDescent="0.25">
      <c r="B21" s="43" t="s">
        <v>52</v>
      </c>
      <c r="C21" s="44" t="s">
        <v>61</v>
      </c>
      <c r="D21" s="43" t="s">
        <v>73</v>
      </c>
      <c r="E21" s="45" t="s">
        <v>61</v>
      </c>
      <c r="F21" s="45" t="s">
        <v>74</v>
      </c>
      <c r="G21" s="46">
        <v>0.5</v>
      </c>
      <c r="H21" s="46">
        <v>0.5</v>
      </c>
      <c r="I21" s="46">
        <f t="shared" ref="I21" si="3">H21-G21</f>
        <v>0</v>
      </c>
      <c r="J21" s="49"/>
      <c r="K21" s="35" t="s">
        <v>94</v>
      </c>
    </row>
    <row r="22" spans="1:11" ht="13.2" x14ac:dyDescent="0.25">
      <c r="A22" s="13"/>
      <c r="B22" s="15"/>
      <c r="C22" s="15"/>
      <c r="D22" s="15"/>
      <c r="E22" s="15" t="s">
        <v>17</v>
      </c>
      <c r="F22" s="15"/>
      <c r="G22" s="18">
        <f>SUM(G5:G21)</f>
        <v>34.5</v>
      </c>
      <c r="H22" s="18">
        <f>SUM(H5:H21)</f>
        <v>45.75</v>
      </c>
      <c r="I22" s="18">
        <f t="shared" si="0"/>
        <v>11.25</v>
      </c>
      <c r="J22" s="19"/>
      <c r="K22" s="36"/>
    </row>
    <row r="23" spans="1:11" ht="18.75" customHeight="1" x14ac:dyDescent="0.25">
      <c r="A23" s="65" t="s">
        <v>18</v>
      </c>
      <c r="B23" s="60"/>
      <c r="C23" s="60"/>
      <c r="D23" s="60"/>
      <c r="E23" s="60"/>
      <c r="F23" s="60"/>
      <c r="G23" s="60"/>
      <c r="H23" s="60"/>
      <c r="I23" s="60"/>
      <c r="J23" s="60"/>
      <c r="K23" s="61"/>
    </row>
    <row r="24" spans="1:11" ht="13.2" x14ac:dyDescent="0.25">
      <c r="A24" s="29" t="s">
        <v>12</v>
      </c>
      <c r="B24" s="66" t="s">
        <v>13</v>
      </c>
      <c r="C24" s="63"/>
      <c r="D24" s="63"/>
      <c r="E24" s="63"/>
      <c r="F24" s="63"/>
      <c r="G24" s="63"/>
      <c r="H24" s="63"/>
      <c r="I24" s="63"/>
      <c r="J24" s="63"/>
      <c r="K24" s="64"/>
    </row>
    <row r="25" spans="1:11" ht="27.75" customHeight="1" x14ac:dyDescent="0.25">
      <c r="A25" s="20" t="s">
        <v>14</v>
      </c>
      <c r="B25" s="66" t="s">
        <v>19</v>
      </c>
      <c r="C25" s="63"/>
      <c r="D25" s="63"/>
      <c r="E25" s="63"/>
      <c r="F25" s="63"/>
      <c r="G25" s="63"/>
      <c r="H25" s="63"/>
      <c r="I25" s="63"/>
      <c r="J25" s="63"/>
      <c r="K25" s="64"/>
    </row>
    <row r="26" spans="1:11" s="48" customFormat="1" ht="26.4" x14ac:dyDescent="0.25">
      <c r="A26" s="50">
        <v>45978</v>
      </c>
      <c r="B26" s="43" t="s">
        <v>52</v>
      </c>
      <c r="C26" s="44" t="s">
        <v>92</v>
      </c>
      <c r="D26" s="43" t="s">
        <v>86</v>
      </c>
      <c r="E26" s="45" t="s">
        <v>64</v>
      </c>
      <c r="F26" s="45" t="s">
        <v>76</v>
      </c>
      <c r="G26" s="46">
        <v>1</v>
      </c>
      <c r="H26" s="46">
        <v>1</v>
      </c>
      <c r="I26" s="46">
        <f t="shared" ref="I26:I41" si="4">H26-G26</f>
        <v>0</v>
      </c>
      <c r="J26" s="52" t="s">
        <v>113</v>
      </c>
      <c r="K26" s="35" t="s">
        <v>95</v>
      </c>
    </row>
    <row r="27" spans="1:11" s="48" customFormat="1" ht="180" x14ac:dyDescent="0.25">
      <c r="B27" s="43" t="s">
        <v>52</v>
      </c>
      <c r="C27" s="44" t="s">
        <v>96</v>
      </c>
      <c r="D27" s="43" t="s">
        <v>97</v>
      </c>
      <c r="E27" s="45" t="s">
        <v>44</v>
      </c>
      <c r="F27" s="45" t="s">
        <v>74</v>
      </c>
      <c r="G27" s="46">
        <v>0.25</v>
      </c>
      <c r="H27" s="46">
        <v>0.4</v>
      </c>
      <c r="I27" s="46">
        <f t="shared" si="4"/>
        <v>0.15000000000000002</v>
      </c>
      <c r="J27" s="49"/>
      <c r="K27" s="35" t="s">
        <v>103</v>
      </c>
    </row>
    <row r="28" spans="1:11" s="48" customFormat="1" ht="26.4" x14ac:dyDescent="0.25">
      <c r="B28" s="43" t="s">
        <v>52</v>
      </c>
      <c r="C28" s="44" t="s">
        <v>92</v>
      </c>
      <c r="D28" s="43" t="s">
        <v>101</v>
      </c>
      <c r="E28" s="45" t="s">
        <v>64</v>
      </c>
      <c r="F28" s="45" t="s">
        <v>76</v>
      </c>
      <c r="G28" s="46">
        <v>1</v>
      </c>
      <c r="H28" s="46">
        <v>1</v>
      </c>
      <c r="I28" s="46">
        <f t="shared" si="4"/>
        <v>0</v>
      </c>
      <c r="J28" s="52" t="s">
        <v>112</v>
      </c>
      <c r="K28" s="35"/>
    </row>
    <row r="29" spans="1:11" s="48" customFormat="1" ht="13.2" x14ac:dyDescent="0.25">
      <c r="B29" s="43" t="s">
        <v>52</v>
      </c>
      <c r="C29" s="44" t="s">
        <v>69</v>
      </c>
      <c r="D29" s="43" t="s">
        <v>98</v>
      </c>
      <c r="E29" s="45" t="s">
        <v>64</v>
      </c>
      <c r="F29" s="45" t="s">
        <v>76</v>
      </c>
      <c r="G29" s="46">
        <v>4</v>
      </c>
      <c r="H29" s="46">
        <v>4</v>
      </c>
      <c r="I29" s="46"/>
      <c r="J29" s="54" t="s">
        <v>137</v>
      </c>
      <c r="K29" s="35"/>
    </row>
    <row r="30" spans="1:11" s="48" customFormat="1" ht="24" x14ac:dyDescent="0.25">
      <c r="A30" s="50">
        <v>45979</v>
      </c>
      <c r="B30" s="43" t="s">
        <v>52</v>
      </c>
      <c r="C30" s="44" t="s">
        <v>78</v>
      </c>
      <c r="D30" s="43" t="s">
        <v>77</v>
      </c>
      <c r="E30" s="45" t="s">
        <v>39</v>
      </c>
      <c r="F30" s="45"/>
      <c r="G30" s="46">
        <v>4</v>
      </c>
      <c r="H30" s="46">
        <v>4</v>
      </c>
      <c r="I30" s="46">
        <f t="shared" si="4"/>
        <v>0</v>
      </c>
      <c r="J30" s="49"/>
      <c r="K30" s="35" t="s">
        <v>99</v>
      </c>
    </row>
    <row r="31" spans="1:11" s="48" customFormat="1" ht="24" x14ac:dyDescent="0.25">
      <c r="B31" s="43" t="s">
        <v>52</v>
      </c>
      <c r="C31" s="44" t="s">
        <v>69</v>
      </c>
      <c r="D31" s="43" t="s">
        <v>98</v>
      </c>
      <c r="E31" s="45" t="s">
        <v>64</v>
      </c>
      <c r="F31" s="45" t="s">
        <v>76</v>
      </c>
      <c r="G31" s="46">
        <v>4</v>
      </c>
      <c r="H31" s="46">
        <v>4</v>
      </c>
      <c r="I31" s="46">
        <f t="shared" si="4"/>
        <v>0</v>
      </c>
      <c r="J31" s="54" t="s">
        <v>137</v>
      </c>
      <c r="K31" s="35" t="s">
        <v>100</v>
      </c>
    </row>
    <row r="32" spans="1:11" s="48" customFormat="1" ht="26.4" x14ac:dyDescent="0.25">
      <c r="B32" s="43" t="s">
        <v>52</v>
      </c>
      <c r="C32" s="44" t="s">
        <v>92</v>
      </c>
      <c r="D32" s="43" t="s">
        <v>101</v>
      </c>
      <c r="E32" s="45" t="s">
        <v>64</v>
      </c>
      <c r="F32" s="45" t="s">
        <v>76</v>
      </c>
      <c r="G32" s="46">
        <v>1</v>
      </c>
      <c r="H32" s="46">
        <v>1</v>
      </c>
      <c r="I32" s="46">
        <f t="shared" si="4"/>
        <v>0</v>
      </c>
      <c r="J32" s="52" t="s">
        <v>112</v>
      </c>
      <c r="K32" s="35" t="s">
        <v>102</v>
      </c>
    </row>
    <row r="33" spans="1:11" s="48" customFormat="1" ht="13.2" x14ac:dyDescent="0.25">
      <c r="A33" s="50">
        <v>45980</v>
      </c>
      <c r="B33" s="43" t="s">
        <v>52</v>
      </c>
      <c r="C33" s="44" t="s">
        <v>44</v>
      </c>
      <c r="D33" s="43" t="s">
        <v>75</v>
      </c>
      <c r="E33" s="45" t="s">
        <v>44</v>
      </c>
      <c r="F33" s="45" t="s">
        <v>74</v>
      </c>
      <c r="G33" s="46">
        <v>0.25</v>
      </c>
      <c r="H33" s="46">
        <v>0.25</v>
      </c>
      <c r="I33" s="46">
        <f t="shared" si="4"/>
        <v>0</v>
      </c>
      <c r="J33" s="49"/>
      <c r="K33" s="35"/>
    </row>
    <row r="34" spans="1:11" s="48" customFormat="1" ht="36" x14ac:dyDescent="0.25">
      <c r="A34" s="50"/>
      <c r="B34" s="43" t="s">
        <v>52</v>
      </c>
      <c r="C34" s="44" t="s">
        <v>104</v>
      </c>
      <c r="D34" s="43" t="s">
        <v>105</v>
      </c>
      <c r="E34" s="45" t="s">
        <v>47</v>
      </c>
      <c r="F34" s="45" t="s">
        <v>76</v>
      </c>
      <c r="G34" s="46">
        <v>4</v>
      </c>
      <c r="H34" s="46">
        <v>4</v>
      </c>
      <c r="I34" s="46">
        <f t="shared" ref="I34" si="5">H34-G34</f>
        <v>0</v>
      </c>
      <c r="J34" s="53" t="s">
        <v>108</v>
      </c>
      <c r="K34" s="35" t="s">
        <v>106</v>
      </c>
    </row>
    <row r="35" spans="1:11" s="48" customFormat="1" ht="36" x14ac:dyDescent="0.25">
      <c r="A35" s="50"/>
      <c r="B35" s="43" t="s">
        <v>52</v>
      </c>
      <c r="C35" s="44" t="s">
        <v>104</v>
      </c>
      <c r="D35" s="43" t="s">
        <v>105</v>
      </c>
      <c r="E35" s="45" t="s">
        <v>47</v>
      </c>
      <c r="F35" s="45" t="s">
        <v>76</v>
      </c>
      <c r="G35" s="46">
        <v>2</v>
      </c>
      <c r="H35" s="46">
        <v>2</v>
      </c>
      <c r="I35" s="46">
        <f t="shared" ref="I35:I39" si="6">H35-G35</f>
        <v>0</v>
      </c>
      <c r="J35" s="53" t="s">
        <v>108</v>
      </c>
      <c r="K35" s="35" t="s">
        <v>107</v>
      </c>
    </row>
    <row r="36" spans="1:11" s="48" customFormat="1" ht="240" x14ac:dyDescent="0.25">
      <c r="A36" s="50"/>
      <c r="B36" s="43" t="s">
        <v>52</v>
      </c>
      <c r="C36" s="44" t="s">
        <v>61</v>
      </c>
      <c r="D36" s="43" t="s">
        <v>73</v>
      </c>
      <c r="E36" s="45" t="s">
        <v>61</v>
      </c>
      <c r="F36" s="45" t="s">
        <v>74</v>
      </c>
      <c r="G36" s="46">
        <v>1</v>
      </c>
      <c r="H36" s="46">
        <v>1</v>
      </c>
      <c r="I36" s="46">
        <f>H36-G36</f>
        <v>0</v>
      </c>
      <c r="J36" s="49"/>
      <c r="K36" s="35" t="s">
        <v>130</v>
      </c>
    </row>
    <row r="37" spans="1:11" s="48" customFormat="1" ht="13.2" x14ac:dyDescent="0.25">
      <c r="A37" s="50">
        <v>45983</v>
      </c>
      <c r="B37" s="43" t="s">
        <v>52</v>
      </c>
      <c r="C37" s="44" t="s">
        <v>114</v>
      </c>
      <c r="D37" s="43" t="s">
        <v>115</v>
      </c>
      <c r="E37" s="45" t="s">
        <v>47</v>
      </c>
      <c r="F37" s="45" t="s">
        <v>76</v>
      </c>
      <c r="G37" s="46">
        <v>4</v>
      </c>
      <c r="H37" s="46">
        <v>4</v>
      </c>
      <c r="I37" s="46">
        <f t="shared" si="6"/>
        <v>0</v>
      </c>
      <c r="J37" s="53" t="s">
        <v>117</v>
      </c>
      <c r="K37" s="35"/>
    </row>
    <row r="38" spans="1:11" s="48" customFormat="1" ht="13.2" x14ac:dyDescent="0.25">
      <c r="A38" s="50"/>
      <c r="B38" s="43" t="s">
        <v>52</v>
      </c>
      <c r="C38" s="44" t="s">
        <v>114</v>
      </c>
      <c r="D38" s="43" t="s">
        <v>115</v>
      </c>
      <c r="E38" s="45" t="s">
        <v>47</v>
      </c>
      <c r="F38" s="45" t="s">
        <v>76</v>
      </c>
      <c r="G38" s="46">
        <v>4</v>
      </c>
      <c r="H38" s="46">
        <v>4</v>
      </c>
      <c r="I38" s="46">
        <f t="shared" si="6"/>
        <v>0</v>
      </c>
      <c r="J38" s="53" t="s">
        <v>117</v>
      </c>
      <c r="K38" s="35"/>
    </row>
    <row r="39" spans="1:11" s="48" customFormat="1" ht="13.2" x14ac:dyDescent="0.25">
      <c r="A39" s="50">
        <v>45984</v>
      </c>
      <c r="B39" s="43" t="s">
        <v>52</v>
      </c>
      <c r="C39" s="44" t="s">
        <v>114</v>
      </c>
      <c r="D39" s="43" t="s">
        <v>115</v>
      </c>
      <c r="E39" s="45" t="s">
        <v>47</v>
      </c>
      <c r="F39" s="45" t="s">
        <v>76</v>
      </c>
      <c r="G39" s="46">
        <v>4</v>
      </c>
      <c r="H39" s="46">
        <v>4</v>
      </c>
      <c r="I39" s="46">
        <f t="shared" si="6"/>
        <v>0</v>
      </c>
      <c r="J39" s="53" t="s">
        <v>117</v>
      </c>
      <c r="K39" s="35" t="s">
        <v>116</v>
      </c>
    </row>
    <row r="40" spans="1:11" s="48" customFormat="1" ht="26.4" x14ac:dyDescent="0.25">
      <c r="A40" s="50"/>
      <c r="B40" s="43" t="s">
        <v>52</v>
      </c>
      <c r="C40" s="44" t="s">
        <v>92</v>
      </c>
      <c r="D40" s="43" t="s">
        <v>101</v>
      </c>
      <c r="E40" s="45" t="s">
        <v>47</v>
      </c>
      <c r="F40" s="45" t="s">
        <v>76</v>
      </c>
      <c r="G40" s="46">
        <v>2</v>
      </c>
      <c r="H40" s="46">
        <v>2</v>
      </c>
      <c r="I40" s="46">
        <f t="shared" ref="I40" si="7">H40-G40</f>
        <v>0</v>
      </c>
      <c r="J40" s="52" t="s">
        <v>112</v>
      </c>
      <c r="K40" s="35"/>
    </row>
    <row r="41" spans="1:11" ht="13.2" x14ac:dyDescent="0.25">
      <c r="A41" s="13"/>
      <c r="B41" s="15"/>
      <c r="C41" s="15"/>
      <c r="D41" s="15"/>
      <c r="E41" s="15" t="s">
        <v>17</v>
      </c>
      <c r="F41" s="15"/>
      <c r="G41" s="18">
        <f>SUM(G24:G40)</f>
        <v>36.5</v>
      </c>
      <c r="H41" s="18">
        <f>SUM(H24:H40)</f>
        <v>36.65</v>
      </c>
      <c r="I41" s="18">
        <f t="shared" si="4"/>
        <v>0.14999999999999858</v>
      </c>
      <c r="J41" s="19"/>
      <c r="K41" s="36"/>
    </row>
    <row r="42" spans="1:11" ht="18.75" customHeight="1" x14ac:dyDescent="0.25">
      <c r="A42" s="67" t="s">
        <v>20</v>
      </c>
      <c r="B42" s="63"/>
      <c r="C42" s="63"/>
      <c r="D42" s="63"/>
      <c r="E42" s="63"/>
      <c r="F42" s="63"/>
      <c r="G42" s="63"/>
      <c r="H42" s="63"/>
      <c r="I42" s="63"/>
      <c r="J42" s="63"/>
      <c r="K42" s="64"/>
    </row>
    <row r="43" spans="1:11" ht="13.2" x14ac:dyDescent="0.25">
      <c r="A43" s="21" t="s">
        <v>12</v>
      </c>
      <c r="B43" s="68" t="s">
        <v>13</v>
      </c>
      <c r="C43" s="63"/>
      <c r="D43" s="63"/>
      <c r="E43" s="63"/>
      <c r="F43" s="63"/>
      <c r="G43" s="63"/>
      <c r="H43" s="63"/>
      <c r="I43" s="63"/>
      <c r="J43" s="63"/>
      <c r="K43" s="64"/>
    </row>
    <row r="44" spans="1:11" ht="27.75" customHeight="1" x14ac:dyDescent="0.25">
      <c r="A44" s="22" t="s">
        <v>14</v>
      </c>
      <c r="B44" s="68" t="s">
        <v>15</v>
      </c>
      <c r="C44" s="63"/>
      <c r="D44" s="63"/>
      <c r="E44" s="63"/>
      <c r="F44" s="63"/>
      <c r="G44" s="63"/>
      <c r="H44" s="63"/>
      <c r="I44" s="63"/>
      <c r="J44" s="63"/>
      <c r="K44" s="64"/>
    </row>
    <row r="45" spans="1:11" s="48" customFormat="1" ht="13.2" x14ac:dyDescent="0.25">
      <c r="A45" s="50">
        <v>45985</v>
      </c>
      <c r="B45" s="43" t="s">
        <v>52</v>
      </c>
      <c r="C45" s="44" t="s">
        <v>44</v>
      </c>
      <c r="D45" s="43" t="s">
        <v>75</v>
      </c>
      <c r="E45" s="45" t="s">
        <v>44</v>
      </c>
      <c r="F45" s="45" t="s">
        <v>74</v>
      </c>
      <c r="G45" s="46">
        <v>0.25</v>
      </c>
      <c r="H45" s="46">
        <v>0.25</v>
      </c>
      <c r="I45" s="46">
        <f t="shared" ref="I45:I50" si="8">H45-G45</f>
        <v>0</v>
      </c>
      <c r="J45" s="49"/>
      <c r="K45" s="35"/>
    </row>
    <row r="46" spans="1:11" s="48" customFormat="1" ht="39.6" x14ac:dyDescent="0.25">
      <c r="B46" s="43" t="s">
        <v>52</v>
      </c>
      <c r="C46" s="44" t="s">
        <v>92</v>
      </c>
      <c r="D46" s="43" t="s">
        <v>101</v>
      </c>
      <c r="E46" s="45" t="s">
        <v>64</v>
      </c>
      <c r="F46" s="45" t="s">
        <v>76</v>
      </c>
      <c r="G46" s="46">
        <v>1</v>
      </c>
      <c r="H46" s="46">
        <v>1</v>
      </c>
      <c r="I46" s="46">
        <f t="shared" si="8"/>
        <v>0</v>
      </c>
      <c r="J46" s="52" t="s">
        <v>136</v>
      </c>
      <c r="K46" s="35" t="s">
        <v>118</v>
      </c>
    </row>
    <row r="47" spans="1:11" s="48" customFormat="1" ht="60" x14ac:dyDescent="0.25">
      <c r="B47" s="43" t="s">
        <v>52</v>
      </c>
      <c r="C47" s="44" t="s">
        <v>69</v>
      </c>
      <c r="D47" s="43" t="s">
        <v>119</v>
      </c>
      <c r="E47" s="45" t="s">
        <v>64</v>
      </c>
      <c r="F47" s="45" t="s">
        <v>76</v>
      </c>
      <c r="G47" s="46">
        <v>3</v>
      </c>
      <c r="H47" s="46">
        <v>3</v>
      </c>
      <c r="I47" s="46">
        <f t="shared" si="8"/>
        <v>0</v>
      </c>
      <c r="J47" s="52" t="s">
        <v>69</v>
      </c>
      <c r="K47" s="35" t="s">
        <v>120</v>
      </c>
    </row>
    <row r="48" spans="1:11" s="48" customFormat="1" ht="36" x14ac:dyDescent="0.25">
      <c r="B48" s="43" t="s">
        <v>52</v>
      </c>
      <c r="C48" s="44" t="s">
        <v>121</v>
      </c>
      <c r="D48" s="43" t="s">
        <v>122</v>
      </c>
      <c r="E48" s="45" t="s">
        <v>47</v>
      </c>
      <c r="F48" s="45" t="s">
        <v>123</v>
      </c>
      <c r="G48" s="46">
        <v>2</v>
      </c>
      <c r="H48" s="46">
        <v>2</v>
      </c>
      <c r="I48" s="46">
        <f t="shared" si="8"/>
        <v>0</v>
      </c>
      <c r="J48" s="52" t="s">
        <v>138</v>
      </c>
      <c r="K48" s="35" t="s">
        <v>124</v>
      </c>
    </row>
    <row r="49" spans="1:11" s="48" customFormat="1" ht="39.6" x14ac:dyDescent="0.25">
      <c r="B49" s="43" t="s">
        <v>52</v>
      </c>
      <c r="C49" s="44" t="s">
        <v>92</v>
      </c>
      <c r="D49" s="43" t="s">
        <v>101</v>
      </c>
      <c r="E49" s="45" t="s">
        <v>64</v>
      </c>
      <c r="F49" s="45" t="s">
        <v>76</v>
      </c>
      <c r="G49" s="46">
        <v>1</v>
      </c>
      <c r="H49" s="46">
        <v>1</v>
      </c>
      <c r="I49" s="46">
        <f t="shared" si="8"/>
        <v>0</v>
      </c>
      <c r="J49" s="52" t="s">
        <v>136</v>
      </c>
      <c r="K49" s="35"/>
    </row>
    <row r="50" spans="1:11" ht="348" x14ac:dyDescent="0.25">
      <c r="A50" s="48"/>
      <c r="B50" s="43" t="s">
        <v>52</v>
      </c>
      <c r="C50" s="44" t="s">
        <v>61</v>
      </c>
      <c r="D50" s="43" t="s">
        <v>128</v>
      </c>
      <c r="E50" s="45" t="s">
        <v>61</v>
      </c>
      <c r="F50" s="45" t="s">
        <v>74</v>
      </c>
      <c r="G50" s="46">
        <v>0.5</v>
      </c>
      <c r="H50" s="46">
        <v>0.5</v>
      </c>
      <c r="I50" s="46">
        <f t="shared" si="8"/>
        <v>0</v>
      </c>
      <c r="K50" s="35" t="s">
        <v>129</v>
      </c>
    </row>
    <row r="51" spans="1:11" s="48" customFormat="1" ht="48" x14ac:dyDescent="0.25">
      <c r="A51" s="50">
        <v>45986</v>
      </c>
      <c r="B51" s="43" t="s">
        <v>39</v>
      </c>
      <c r="C51" s="44" t="s">
        <v>16</v>
      </c>
      <c r="D51" s="43" t="s">
        <v>125</v>
      </c>
      <c r="E51" s="45"/>
      <c r="F51" s="45"/>
      <c r="G51" s="46"/>
      <c r="H51" s="46"/>
      <c r="I51" s="46">
        <f t="shared" ref="I51:I57" si="9">H51-G51</f>
        <v>0</v>
      </c>
      <c r="J51" s="49"/>
      <c r="K51" s="35" t="s">
        <v>126</v>
      </c>
    </row>
    <row r="52" spans="1:11" s="48" customFormat="1" ht="24" x14ac:dyDescent="0.25">
      <c r="A52" s="50">
        <v>45987</v>
      </c>
      <c r="B52" s="43" t="s">
        <v>52</v>
      </c>
      <c r="C52" s="44" t="s">
        <v>69</v>
      </c>
      <c r="D52" s="43" t="s">
        <v>119</v>
      </c>
      <c r="E52" s="45" t="s">
        <v>64</v>
      </c>
      <c r="F52" s="45" t="s">
        <v>76</v>
      </c>
      <c r="G52" s="46">
        <v>2</v>
      </c>
      <c r="H52" s="46">
        <v>2</v>
      </c>
      <c r="I52" s="46">
        <f t="shared" si="9"/>
        <v>0</v>
      </c>
      <c r="J52" s="52" t="s">
        <v>69</v>
      </c>
      <c r="K52" s="35" t="s">
        <v>127</v>
      </c>
    </row>
    <row r="53" spans="1:11" s="48" customFormat="1" ht="39.6" x14ac:dyDescent="0.25">
      <c r="A53" s="50"/>
      <c r="B53" s="43" t="s">
        <v>52</v>
      </c>
      <c r="C53" s="44" t="s">
        <v>92</v>
      </c>
      <c r="D53" s="43" t="s">
        <v>101</v>
      </c>
      <c r="E53" s="45" t="s">
        <v>64</v>
      </c>
      <c r="F53" s="45" t="s">
        <v>76</v>
      </c>
      <c r="G53" s="46">
        <v>1</v>
      </c>
      <c r="H53" s="46">
        <v>1</v>
      </c>
      <c r="I53" s="46">
        <f t="shared" si="9"/>
        <v>0</v>
      </c>
      <c r="J53" s="52" t="s">
        <v>135</v>
      </c>
      <c r="K53" s="35" t="s">
        <v>131</v>
      </c>
    </row>
    <row r="54" spans="1:11" s="48" customFormat="1" ht="24" x14ac:dyDescent="0.25">
      <c r="A54" s="42"/>
      <c r="B54" s="43" t="s">
        <v>52</v>
      </c>
      <c r="C54" s="44" t="s">
        <v>121</v>
      </c>
      <c r="D54" s="43" t="s">
        <v>122</v>
      </c>
      <c r="E54" s="45" t="s">
        <v>47</v>
      </c>
      <c r="F54" s="45" t="s">
        <v>123</v>
      </c>
      <c r="G54" s="46">
        <v>4</v>
      </c>
      <c r="H54" s="46">
        <v>4</v>
      </c>
      <c r="I54" s="46">
        <f t="shared" si="9"/>
        <v>0</v>
      </c>
      <c r="J54" s="52" t="s">
        <v>138</v>
      </c>
      <c r="K54" s="35" t="s">
        <v>132</v>
      </c>
    </row>
    <row r="55" spans="1:11" s="48" customFormat="1" ht="108" x14ac:dyDescent="0.25">
      <c r="B55" s="43" t="s">
        <v>52</v>
      </c>
      <c r="C55" s="44" t="s">
        <v>121</v>
      </c>
      <c r="D55" s="43" t="s">
        <v>122</v>
      </c>
      <c r="E55" s="45" t="s">
        <v>62</v>
      </c>
      <c r="F55" s="45" t="s">
        <v>123</v>
      </c>
      <c r="G55" s="46">
        <v>4</v>
      </c>
      <c r="H55" s="46">
        <v>4</v>
      </c>
      <c r="I55" s="46">
        <f t="shared" si="9"/>
        <v>0</v>
      </c>
      <c r="J55" s="52" t="s">
        <v>138</v>
      </c>
      <c r="K55" s="35" t="s">
        <v>133</v>
      </c>
    </row>
    <row r="56" spans="1:11" s="48" customFormat="1" ht="60" x14ac:dyDescent="0.25">
      <c r="B56" s="43" t="s">
        <v>52</v>
      </c>
      <c r="C56" s="44" t="s">
        <v>121</v>
      </c>
      <c r="D56" s="43" t="s">
        <v>122</v>
      </c>
      <c r="E56" s="45" t="s">
        <v>47</v>
      </c>
      <c r="F56" s="45" t="s">
        <v>123</v>
      </c>
      <c r="G56" s="46">
        <v>4</v>
      </c>
      <c r="H56" s="46">
        <v>4</v>
      </c>
      <c r="I56" s="46">
        <f t="shared" si="9"/>
        <v>0</v>
      </c>
      <c r="J56" s="52" t="s">
        <v>138</v>
      </c>
      <c r="K56" s="35" t="s">
        <v>134</v>
      </c>
    </row>
    <row r="57" spans="1:11" s="48" customFormat="1" ht="409.2" customHeight="1" x14ac:dyDescent="0.25">
      <c r="A57" s="50">
        <v>45988</v>
      </c>
      <c r="B57" s="43" t="s">
        <v>52</v>
      </c>
      <c r="C57" s="44" t="s">
        <v>61</v>
      </c>
      <c r="D57" s="43" t="s">
        <v>61</v>
      </c>
      <c r="E57" s="45" t="s">
        <v>61</v>
      </c>
      <c r="F57" s="45" t="s">
        <v>74</v>
      </c>
      <c r="G57" s="46">
        <v>2</v>
      </c>
      <c r="H57" s="46">
        <v>2</v>
      </c>
      <c r="I57" s="46">
        <f t="shared" si="9"/>
        <v>0</v>
      </c>
      <c r="J57" s="49"/>
      <c r="K57" s="35" t="s">
        <v>139</v>
      </c>
    </row>
    <row r="58" spans="1:11" s="48" customFormat="1" ht="13.2" x14ac:dyDescent="0.25">
      <c r="B58" s="43" t="s">
        <v>52</v>
      </c>
      <c r="C58" s="44" t="s">
        <v>121</v>
      </c>
      <c r="D58" s="43" t="s">
        <v>122</v>
      </c>
      <c r="E58" s="45" t="s">
        <v>47</v>
      </c>
      <c r="F58" s="45" t="s">
        <v>123</v>
      </c>
      <c r="G58" s="46">
        <v>4</v>
      </c>
      <c r="H58" s="46">
        <v>4</v>
      </c>
      <c r="I58" s="46">
        <v>0</v>
      </c>
      <c r="J58" s="52" t="s">
        <v>138</v>
      </c>
      <c r="K58" s="35" t="s">
        <v>140</v>
      </c>
    </row>
    <row r="59" spans="1:11" s="48" customFormat="1" ht="13.2" x14ac:dyDescent="0.25">
      <c r="B59" s="43" t="s">
        <v>52</v>
      </c>
      <c r="C59" s="44" t="s">
        <v>92</v>
      </c>
      <c r="D59" s="43" t="s">
        <v>142</v>
      </c>
      <c r="E59" s="45" t="s">
        <v>64</v>
      </c>
      <c r="F59" s="45" t="s">
        <v>123</v>
      </c>
      <c r="G59" s="46">
        <v>3</v>
      </c>
      <c r="H59" s="46">
        <v>3</v>
      </c>
      <c r="I59" s="46">
        <f t="shared" ref="I59:I63" si="10">H59-G59</f>
        <v>0</v>
      </c>
      <c r="J59" s="49"/>
      <c r="K59" s="35"/>
    </row>
    <row r="60" spans="1:11" s="48" customFormat="1" ht="24" x14ac:dyDescent="0.25">
      <c r="A60" s="50">
        <v>45989</v>
      </c>
      <c r="B60" s="43" t="s">
        <v>52</v>
      </c>
      <c r="C60" s="44" t="s">
        <v>141</v>
      </c>
      <c r="D60" s="43" t="s">
        <v>145</v>
      </c>
      <c r="E60" s="45" t="s">
        <v>47</v>
      </c>
      <c r="F60" s="45" t="s">
        <v>123</v>
      </c>
      <c r="G60" s="46">
        <v>4</v>
      </c>
      <c r="H60" s="46">
        <v>4</v>
      </c>
      <c r="I60" s="46">
        <f t="shared" si="10"/>
        <v>0</v>
      </c>
      <c r="J60" s="49"/>
      <c r="K60" s="35" t="s">
        <v>143</v>
      </c>
    </row>
    <row r="61" spans="1:11" s="48" customFormat="1" ht="48" x14ac:dyDescent="0.25">
      <c r="B61" s="43" t="s">
        <v>52</v>
      </c>
      <c r="C61" s="44" t="s">
        <v>141</v>
      </c>
      <c r="D61" s="43" t="s">
        <v>145</v>
      </c>
      <c r="E61" s="45" t="s">
        <v>47</v>
      </c>
      <c r="F61" s="45" t="s">
        <v>123</v>
      </c>
      <c r="G61" s="46">
        <v>4</v>
      </c>
      <c r="H61" s="46">
        <v>4</v>
      </c>
      <c r="I61" s="46">
        <f t="shared" si="10"/>
        <v>0</v>
      </c>
      <c r="J61" s="49"/>
      <c r="K61" s="35" t="s">
        <v>144</v>
      </c>
    </row>
    <row r="62" spans="1:11" s="48" customFormat="1" ht="24" x14ac:dyDescent="0.25">
      <c r="A62" s="50">
        <v>45990</v>
      </c>
      <c r="B62" s="43" t="s">
        <v>52</v>
      </c>
      <c r="C62" s="44" t="s">
        <v>141</v>
      </c>
      <c r="D62" s="43" t="s">
        <v>145</v>
      </c>
      <c r="E62" s="45" t="s">
        <v>62</v>
      </c>
      <c r="F62" s="45" t="s">
        <v>123</v>
      </c>
      <c r="G62" s="46">
        <v>2</v>
      </c>
      <c r="H62" s="46">
        <v>2</v>
      </c>
      <c r="I62" s="46">
        <f t="shared" si="10"/>
        <v>0</v>
      </c>
      <c r="J62" s="49"/>
      <c r="K62" s="35" t="s">
        <v>146</v>
      </c>
    </row>
    <row r="63" spans="1:11" s="48" customFormat="1" ht="24" x14ac:dyDescent="0.25">
      <c r="A63" s="42"/>
      <c r="B63" s="43" t="s">
        <v>52</v>
      </c>
      <c r="C63" s="44" t="s">
        <v>141</v>
      </c>
      <c r="D63" s="43" t="s">
        <v>145</v>
      </c>
      <c r="E63" s="45" t="s">
        <v>47</v>
      </c>
      <c r="F63" s="45" t="s">
        <v>123</v>
      </c>
      <c r="G63" s="46">
        <v>4</v>
      </c>
      <c r="H63" s="46">
        <v>4</v>
      </c>
      <c r="I63" s="46">
        <f t="shared" si="10"/>
        <v>0</v>
      </c>
      <c r="J63" s="49"/>
      <c r="K63" s="35" t="s">
        <v>147</v>
      </c>
    </row>
    <row r="64" spans="1:11" s="48" customFormat="1" ht="36" x14ac:dyDescent="0.25">
      <c r="A64" s="42"/>
      <c r="B64" s="43" t="s">
        <v>43</v>
      </c>
      <c r="C64" s="44" t="s">
        <v>141</v>
      </c>
      <c r="D64" s="43" t="s">
        <v>145</v>
      </c>
      <c r="E64" s="45" t="s">
        <v>62</v>
      </c>
      <c r="F64" s="45" t="s">
        <v>123</v>
      </c>
      <c r="G64" s="46">
        <v>1</v>
      </c>
      <c r="H64" s="46">
        <v>1</v>
      </c>
      <c r="I64" s="46">
        <f t="shared" ref="I64:I65" si="11">H64-G64</f>
        <v>0</v>
      </c>
      <c r="J64" s="49"/>
      <c r="K64" s="35" t="s">
        <v>148</v>
      </c>
    </row>
    <row r="65" spans="1:11" s="48" customFormat="1" ht="24" x14ac:dyDescent="0.25">
      <c r="A65" s="42"/>
      <c r="B65" s="43" t="s">
        <v>52</v>
      </c>
      <c r="C65" s="44" t="s">
        <v>141</v>
      </c>
      <c r="D65" s="43" t="s">
        <v>145</v>
      </c>
      <c r="E65" s="45" t="s">
        <v>47</v>
      </c>
      <c r="F65" s="45" t="s">
        <v>123</v>
      </c>
      <c r="G65" s="46">
        <v>4</v>
      </c>
      <c r="H65" s="46">
        <v>4</v>
      </c>
      <c r="I65" s="46">
        <f t="shared" si="11"/>
        <v>0</v>
      </c>
      <c r="J65" s="49"/>
      <c r="K65" s="35" t="s">
        <v>149</v>
      </c>
    </row>
    <row r="66" spans="1:11" ht="13.2" x14ac:dyDescent="0.25">
      <c r="A66" s="13"/>
      <c r="B66" s="15"/>
      <c r="C66" s="15"/>
      <c r="D66" s="15"/>
      <c r="E66" s="15" t="s">
        <v>17</v>
      </c>
      <c r="F66" s="15"/>
      <c r="G66" s="18">
        <f>SUM(G45:G65)</f>
        <v>50.75</v>
      </c>
      <c r="H66" s="18">
        <f>SUM(H45:H65)</f>
        <v>50.75</v>
      </c>
      <c r="I66" s="18">
        <f t="shared" ref="I66" si="12">H66-G66</f>
        <v>0</v>
      </c>
      <c r="J66" s="19"/>
      <c r="K66" s="36"/>
    </row>
    <row r="67" spans="1:11" ht="18.75" customHeight="1" x14ac:dyDescent="0.25">
      <c r="A67" s="72" t="s">
        <v>162</v>
      </c>
      <c r="B67" s="63"/>
      <c r="C67" s="63"/>
      <c r="D67" s="63"/>
      <c r="E67" s="63"/>
      <c r="F67" s="63"/>
      <c r="G67" s="63"/>
      <c r="H67" s="63"/>
      <c r="I67" s="63"/>
      <c r="J67" s="63"/>
      <c r="K67" s="64"/>
    </row>
    <row r="68" spans="1:11" ht="13.2" x14ac:dyDescent="0.25">
      <c r="A68" s="23" t="s">
        <v>12</v>
      </c>
      <c r="B68" s="73" t="s">
        <v>13</v>
      </c>
      <c r="C68" s="63"/>
      <c r="D68" s="63"/>
      <c r="E68" s="63"/>
      <c r="F68" s="63"/>
      <c r="G68" s="63"/>
      <c r="H68" s="63"/>
      <c r="I68" s="63"/>
      <c r="J68" s="63"/>
      <c r="K68" s="64"/>
    </row>
    <row r="69" spans="1:11" ht="27.75" customHeight="1" x14ac:dyDescent="0.25">
      <c r="A69" s="24" t="s">
        <v>14</v>
      </c>
      <c r="B69" s="73" t="s">
        <v>15</v>
      </c>
      <c r="C69" s="63"/>
      <c r="D69" s="63"/>
      <c r="E69" s="63"/>
      <c r="F69" s="63"/>
      <c r="G69" s="63"/>
      <c r="H69" s="63"/>
      <c r="I69" s="63"/>
      <c r="J69" s="63"/>
      <c r="K69" s="64"/>
    </row>
    <row r="70" spans="1:11" s="48" customFormat="1" ht="36" x14ac:dyDescent="0.25">
      <c r="A70" s="42">
        <v>45992</v>
      </c>
      <c r="B70" s="43" t="s">
        <v>52</v>
      </c>
      <c r="C70" s="44" t="s">
        <v>151</v>
      </c>
      <c r="D70" s="43" t="s">
        <v>152</v>
      </c>
      <c r="E70" s="45" t="s">
        <v>62</v>
      </c>
      <c r="F70" s="45" t="s">
        <v>123</v>
      </c>
      <c r="G70" s="46">
        <v>4</v>
      </c>
      <c r="H70" s="46">
        <v>4</v>
      </c>
      <c r="I70" s="46">
        <f t="shared" ref="I70" si="13">H70-G70</f>
        <v>0</v>
      </c>
      <c r="J70" s="49"/>
      <c r="K70" s="35" t="s">
        <v>150</v>
      </c>
    </row>
    <row r="71" spans="1:11" s="48" customFormat="1" ht="48" x14ac:dyDescent="0.25">
      <c r="B71" s="43" t="s">
        <v>52</v>
      </c>
      <c r="C71" s="44" t="s">
        <v>151</v>
      </c>
      <c r="D71" s="43" t="s">
        <v>153</v>
      </c>
      <c r="E71" s="45" t="s">
        <v>53</v>
      </c>
      <c r="F71" s="45" t="s">
        <v>123</v>
      </c>
      <c r="G71" s="46">
        <v>4</v>
      </c>
      <c r="H71" s="46">
        <v>4</v>
      </c>
      <c r="I71" s="46">
        <f t="shared" ref="I71:I88" si="14">H71-G71</f>
        <v>0</v>
      </c>
      <c r="J71" s="49"/>
      <c r="K71" s="35" t="s">
        <v>154</v>
      </c>
    </row>
    <row r="72" spans="1:11" s="48" customFormat="1" ht="36" x14ac:dyDescent="0.25">
      <c r="B72" s="43" t="s">
        <v>52</v>
      </c>
      <c r="C72" s="44" t="s">
        <v>141</v>
      </c>
      <c r="D72" s="43" t="s">
        <v>145</v>
      </c>
      <c r="E72" s="45" t="s">
        <v>47</v>
      </c>
      <c r="F72" s="45" t="s">
        <v>123</v>
      </c>
      <c r="G72" s="46">
        <v>2</v>
      </c>
      <c r="H72" s="46">
        <v>2</v>
      </c>
      <c r="I72" s="46">
        <f t="shared" si="14"/>
        <v>0</v>
      </c>
      <c r="J72" s="49"/>
      <c r="K72" s="35" t="s">
        <v>155</v>
      </c>
    </row>
    <row r="73" spans="1:11" s="48" customFormat="1" ht="60" x14ac:dyDescent="0.25">
      <c r="B73" s="43" t="s">
        <v>52</v>
      </c>
      <c r="C73" s="44" t="s">
        <v>141</v>
      </c>
      <c r="D73" s="43" t="s">
        <v>145</v>
      </c>
      <c r="E73" s="45" t="s">
        <v>62</v>
      </c>
      <c r="F73" s="45" t="s">
        <v>123</v>
      </c>
      <c r="G73" s="46">
        <v>4</v>
      </c>
      <c r="H73" s="46">
        <v>4</v>
      </c>
      <c r="I73" s="46">
        <f t="shared" si="14"/>
        <v>0</v>
      </c>
      <c r="J73" s="49"/>
      <c r="K73" s="35" t="s">
        <v>156</v>
      </c>
    </row>
    <row r="74" spans="1:11" s="48" customFormat="1" ht="72" x14ac:dyDescent="0.25">
      <c r="A74" s="42">
        <v>45993</v>
      </c>
      <c r="B74" s="43" t="s">
        <v>52</v>
      </c>
      <c r="C74" s="44" t="s">
        <v>141</v>
      </c>
      <c r="D74" s="43" t="s">
        <v>145</v>
      </c>
      <c r="E74" s="45" t="s">
        <v>53</v>
      </c>
      <c r="F74" s="45" t="s">
        <v>123</v>
      </c>
      <c r="G74" s="46">
        <v>2</v>
      </c>
      <c r="H74" s="46">
        <v>2</v>
      </c>
      <c r="I74" s="46">
        <f t="shared" si="14"/>
        <v>0</v>
      </c>
      <c r="J74" s="49"/>
      <c r="K74" s="35" t="s">
        <v>157</v>
      </c>
    </row>
    <row r="75" spans="1:11" s="48" customFormat="1" ht="24" x14ac:dyDescent="0.25">
      <c r="A75" s="42"/>
      <c r="B75" s="43" t="s">
        <v>52</v>
      </c>
      <c r="C75" s="44" t="s">
        <v>158</v>
      </c>
      <c r="D75" s="43" t="s">
        <v>159</v>
      </c>
      <c r="E75" s="45" t="s">
        <v>47</v>
      </c>
      <c r="F75" s="45" t="s">
        <v>123</v>
      </c>
      <c r="G75" s="46">
        <v>4</v>
      </c>
      <c r="H75" s="46">
        <v>4</v>
      </c>
      <c r="I75" s="46">
        <f t="shared" si="14"/>
        <v>0</v>
      </c>
      <c r="J75" s="49"/>
      <c r="K75" s="35" t="s">
        <v>160</v>
      </c>
    </row>
    <row r="76" spans="1:11" s="48" customFormat="1" ht="24" x14ac:dyDescent="0.25">
      <c r="A76" s="42"/>
      <c r="B76" s="43" t="s">
        <v>52</v>
      </c>
      <c r="C76" s="44" t="s">
        <v>158</v>
      </c>
      <c r="D76" s="43" t="s">
        <v>159</v>
      </c>
      <c r="E76" s="45" t="s">
        <v>62</v>
      </c>
      <c r="F76" s="45" t="s">
        <v>123</v>
      </c>
      <c r="G76" s="46">
        <v>1</v>
      </c>
      <c r="H76" s="46">
        <v>1</v>
      </c>
      <c r="I76" s="46">
        <f t="shared" si="14"/>
        <v>0</v>
      </c>
      <c r="J76" s="49"/>
      <c r="K76" s="35" t="s">
        <v>161</v>
      </c>
    </row>
    <row r="77" spans="1:11" s="48" customFormat="1" ht="13.2" x14ac:dyDescent="0.25">
      <c r="A77" s="42"/>
      <c r="B77" s="43" t="s">
        <v>52</v>
      </c>
      <c r="C77" s="44" t="s">
        <v>158</v>
      </c>
      <c r="D77" s="43" t="s">
        <v>159</v>
      </c>
      <c r="E77" s="45" t="s">
        <v>47</v>
      </c>
      <c r="F77" s="45" t="s">
        <v>123</v>
      </c>
      <c r="G77" s="46">
        <v>4</v>
      </c>
      <c r="H77" s="46">
        <v>4</v>
      </c>
      <c r="I77" s="46">
        <f t="shared" si="14"/>
        <v>0</v>
      </c>
      <c r="J77" s="49"/>
      <c r="K77" s="35"/>
    </row>
    <row r="78" spans="1:11" s="48" customFormat="1" ht="372" x14ac:dyDescent="0.25">
      <c r="B78" s="43" t="s">
        <v>52</v>
      </c>
      <c r="C78" s="44" t="s">
        <v>61</v>
      </c>
      <c r="D78" s="43" t="s">
        <v>61</v>
      </c>
      <c r="E78" s="45" t="s">
        <v>61</v>
      </c>
      <c r="F78" s="45" t="s">
        <v>74</v>
      </c>
      <c r="G78" s="46">
        <v>2</v>
      </c>
      <c r="H78" s="46">
        <v>2</v>
      </c>
      <c r="I78" s="46">
        <f>H78-G78</f>
        <v>0</v>
      </c>
      <c r="J78" s="49"/>
      <c r="K78" s="35" t="s">
        <v>168</v>
      </c>
    </row>
    <row r="79" spans="1:11" s="48" customFormat="1" ht="24" x14ac:dyDescent="0.25">
      <c r="A79" s="42">
        <v>45994</v>
      </c>
      <c r="B79" s="43" t="s">
        <v>52</v>
      </c>
      <c r="C79" s="44" t="s">
        <v>164</v>
      </c>
      <c r="D79" s="43" t="s">
        <v>165</v>
      </c>
      <c r="E79" s="45" t="s">
        <v>64</v>
      </c>
      <c r="F79" s="45" t="s">
        <v>166</v>
      </c>
      <c r="G79" s="46">
        <v>4</v>
      </c>
      <c r="H79" s="46">
        <v>4</v>
      </c>
      <c r="I79" s="46">
        <f>H79-G79</f>
        <v>0</v>
      </c>
      <c r="J79" s="49"/>
      <c r="K79" s="35" t="s">
        <v>167</v>
      </c>
    </row>
    <row r="80" spans="1:11" s="48" customFormat="1" ht="48" x14ac:dyDescent="0.25">
      <c r="A80" s="42"/>
      <c r="B80" s="43" t="s">
        <v>52</v>
      </c>
      <c r="C80" s="44" t="s">
        <v>158</v>
      </c>
      <c r="D80" s="43" t="s">
        <v>159</v>
      </c>
      <c r="E80" s="45" t="s">
        <v>47</v>
      </c>
      <c r="F80" s="45" t="s">
        <v>123</v>
      </c>
      <c r="G80" s="46">
        <v>4</v>
      </c>
      <c r="H80" s="46">
        <v>4</v>
      </c>
      <c r="I80" s="46">
        <f t="shared" ref="I80:I86" si="15">H80-G80</f>
        <v>0</v>
      </c>
      <c r="J80" s="49"/>
      <c r="K80" s="35" t="s">
        <v>169</v>
      </c>
    </row>
    <row r="81" spans="1:11" s="48" customFormat="1" ht="60" x14ac:dyDescent="0.25">
      <c r="A81" s="42"/>
      <c r="B81" s="43" t="s">
        <v>52</v>
      </c>
      <c r="C81" s="44" t="s">
        <v>158</v>
      </c>
      <c r="D81" s="43" t="s">
        <v>159</v>
      </c>
      <c r="E81" s="45" t="s">
        <v>47</v>
      </c>
      <c r="F81" s="45" t="s">
        <v>123</v>
      </c>
      <c r="G81" s="46">
        <v>4</v>
      </c>
      <c r="H81" s="46">
        <v>4</v>
      </c>
      <c r="I81" s="46">
        <f t="shared" si="15"/>
        <v>0</v>
      </c>
      <c r="J81" s="49"/>
      <c r="K81" s="35" t="s">
        <v>170</v>
      </c>
    </row>
    <row r="82" spans="1:11" s="48" customFormat="1" ht="24" x14ac:dyDescent="0.25">
      <c r="A82" s="42"/>
      <c r="B82" s="43" t="s">
        <v>52</v>
      </c>
      <c r="C82" s="44" t="s">
        <v>158</v>
      </c>
      <c r="D82" s="43" t="s">
        <v>159</v>
      </c>
      <c r="E82" s="45" t="s">
        <v>47</v>
      </c>
      <c r="F82" s="45" t="s">
        <v>123</v>
      </c>
      <c r="G82" s="46">
        <v>4</v>
      </c>
      <c r="H82" s="46">
        <v>4</v>
      </c>
      <c r="I82" s="46">
        <f t="shared" si="15"/>
        <v>0</v>
      </c>
      <c r="J82" s="49"/>
      <c r="K82" s="35" t="s">
        <v>171</v>
      </c>
    </row>
    <row r="83" spans="1:11" s="48" customFormat="1" ht="60" x14ac:dyDescent="0.25">
      <c r="A83" s="42">
        <v>45995</v>
      </c>
      <c r="B83" s="43" t="s">
        <v>52</v>
      </c>
      <c r="C83" s="44" t="s">
        <v>172</v>
      </c>
      <c r="D83" s="43" t="s">
        <v>173</v>
      </c>
      <c r="E83" s="45" t="s">
        <v>47</v>
      </c>
      <c r="F83" s="45" t="s">
        <v>123</v>
      </c>
      <c r="G83" s="46">
        <v>4</v>
      </c>
      <c r="H83" s="46">
        <v>4</v>
      </c>
      <c r="I83" s="46">
        <f t="shared" si="15"/>
        <v>0</v>
      </c>
      <c r="J83" s="49"/>
      <c r="K83" s="35" t="s">
        <v>174</v>
      </c>
    </row>
    <row r="84" spans="1:11" s="48" customFormat="1" ht="72" x14ac:dyDescent="0.25">
      <c r="A84" s="42"/>
      <c r="B84" s="43" t="s">
        <v>52</v>
      </c>
      <c r="C84" s="44" t="s">
        <v>172</v>
      </c>
      <c r="D84" s="43" t="s">
        <v>173</v>
      </c>
      <c r="E84" s="45" t="s">
        <v>47</v>
      </c>
      <c r="F84" s="45" t="s">
        <v>123</v>
      </c>
      <c r="G84" s="46">
        <v>4</v>
      </c>
      <c r="H84" s="46">
        <v>4</v>
      </c>
      <c r="I84" s="46">
        <f t="shared" si="15"/>
        <v>0</v>
      </c>
      <c r="J84" s="49"/>
      <c r="K84" s="35" t="s">
        <v>175</v>
      </c>
    </row>
    <row r="85" spans="1:11" s="48" customFormat="1" ht="276" x14ac:dyDescent="0.25">
      <c r="A85" s="42">
        <v>45996</v>
      </c>
      <c r="B85" s="43" t="s">
        <v>52</v>
      </c>
      <c r="C85" s="44" t="s">
        <v>61</v>
      </c>
      <c r="D85" s="43" t="s">
        <v>61</v>
      </c>
      <c r="E85" s="45" t="s">
        <v>61</v>
      </c>
      <c r="F85" s="45" t="s">
        <v>74</v>
      </c>
      <c r="G85" s="46">
        <v>1</v>
      </c>
      <c r="H85" s="46">
        <v>1</v>
      </c>
      <c r="I85" s="46">
        <f t="shared" si="15"/>
        <v>0</v>
      </c>
      <c r="J85" s="49"/>
      <c r="K85" s="35" t="s">
        <v>176</v>
      </c>
    </row>
    <row r="86" spans="1:11" s="48" customFormat="1" ht="216" x14ac:dyDescent="0.25">
      <c r="A86" s="42"/>
      <c r="B86" s="43" t="s">
        <v>52</v>
      </c>
      <c r="C86" s="44" t="s">
        <v>61</v>
      </c>
      <c r="D86" s="43" t="s">
        <v>61</v>
      </c>
      <c r="E86" s="45" t="s">
        <v>61</v>
      </c>
      <c r="F86" s="45" t="s">
        <v>74</v>
      </c>
      <c r="G86" s="46">
        <v>1</v>
      </c>
      <c r="H86" s="46">
        <v>1</v>
      </c>
      <c r="I86" s="46">
        <f t="shared" si="15"/>
        <v>0</v>
      </c>
      <c r="J86" s="49"/>
      <c r="K86" s="35" t="s">
        <v>177</v>
      </c>
    </row>
    <row r="87" spans="1:11" s="48" customFormat="1" ht="13.2" x14ac:dyDescent="0.25">
      <c r="A87" s="42"/>
      <c r="B87" s="43" t="s">
        <v>58</v>
      </c>
      <c r="C87" s="44" t="s">
        <v>172</v>
      </c>
      <c r="D87" s="43" t="s">
        <v>173</v>
      </c>
      <c r="E87" s="45" t="s">
        <v>47</v>
      </c>
      <c r="F87" s="45" t="s">
        <v>123</v>
      </c>
      <c r="G87" s="46">
        <v>4</v>
      </c>
      <c r="H87" s="46">
        <v>0</v>
      </c>
      <c r="I87" s="46">
        <f t="shared" ref="I87" si="16">H87-G87</f>
        <v>-4</v>
      </c>
      <c r="J87" s="49"/>
      <c r="K87" s="35" t="s">
        <v>178</v>
      </c>
    </row>
    <row r="88" spans="1:11" ht="13.2" x14ac:dyDescent="0.25">
      <c r="A88" s="13"/>
      <c r="B88" s="15"/>
      <c r="C88" s="15"/>
      <c r="D88" s="15"/>
      <c r="E88" s="15" t="s">
        <v>17</v>
      </c>
      <c r="F88" s="15"/>
      <c r="G88" s="18">
        <f>SUM(G70:G87)</f>
        <v>57</v>
      </c>
      <c r="H88" s="18">
        <f>SUM(H70:H87)</f>
        <v>53</v>
      </c>
      <c r="I88" s="18">
        <f t="shared" si="14"/>
        <v>-4</v>
      </c>
      <c r="J88" s="19"/>
      <c r="K88" s="36"/>
    </row>
    <row r="89" spans="1:11" ht="18.75" customHeight="1" x14ac:dyDescent="0.25">
      <c r="A89" s="74" t="s">
        <v>21</v>
      </c>
      <c r="B89" s="63"/>
      <c r="C89" s="63"/>
      <c r="D89" s="63"/>
      <c r="E89" s="63"/>
      <c r="F89" s="63"/>
      <c r="G89" s="63"/>
      <c r="H89" s="63"/>
      <c r="I89" s="63"/>
      <c r="J89" s="63"/>
      <c r="K89" s="64"/>
    </row>
    <row r="90" spans="1:11" ht="13.2" x14ac:dyDescent="0.25">
      <c r="A90" s="25" t="s">
        <v>12</v>
      </c>
      <c r="B90" s="70" t="s">
        <v>13</v>
      </c>
      <c r="C90" s="63"/>
      <c r="D90" s="63"/>
      <c r="E90" s="63"/>
      <c r="F90" s="63"/>
      <c r="G90" s="63"/>
      <c r="H90" s="63"/>
      <c r="I90" s="63"/>
      <c r="J90" s="63"/>
      <c r="K90" s="64"/>
    </row>
    <row r="91" spans="1:11" ht="27.75" customHeight="1" x14ac:dyDescent="0.25">
      <c r="A91" s="26" t="s">
        <v>14</v>
      </c>
      <c r="B91" s="70" t="s">
        <v>15</v>
      </c>
      <c r="C91" s="63"/>
      <c r="D91" s="63"/>
      <c r="E91" s="63"/>
      <c r="F91" s="63"/>
      <c r="G91" s="63"/>
      <c r="H91" s="63"/>
      <c r="I91" s="63"/>
      <c r="J91" s="63"/>
      <c r="K91" s="64"/>
    </row>
    <row r="92" spans="1:11" s="48" customFormat="1" ht="13.2" x14ac:dyDescent="0.25">
      <c r="A92" s="42">
        <v>45999</v>
      </c>
      <c r="B92" s="43"/>
      <c r="C92" s="44" t="s">
        <v>16</v>
      </c>
      <c r="D92" s="43"/>
      <c r="E92" s="45"/>
      <c r="F92" s="45"/>
      <c r="G92" s="46"/>
      <c r="H92" s="46"/>
      <c r="I92" s="46">
        <f t="shared" ref="I92:I130" si="17">H92-G92</f>
        <v>0</v>
      </c>
      <c r="J92" s="49"/>
      <c r="K92" s="35"/>
    </row>
    <row r="93" spans="1:11" s="48" customFormat="1" ht="13.2" x14ac:dyDescent="0.25">
      <c r="A93" s="42">
        <v>46000</v>
      </c>
      <c r="B93" s="43"/>
      <c r="C93" s="44" t="s">
        <v>16</v>
      </c>
      <c r="D93" s="43"/>
      <c r="E93" s="45"/>
      <c r="F93" s="45"/>
      <c r="G93" s="46"/>
      <c r="H93" s="46"/>
      <c r="I93" s="46">
        <f t="shared" si="17"/>
        <v>0</v>
      </c>
      <c r="J93" s="49"/>
      <c r="K93" s="35"/>
    </row>
    <row r="94" spans="1:11" s="48" customFormat="1" ht="13.2" x14ac:dyDescent="0.25">
      <c r="A94" s="42">
        <v>46001</v>
      </c>
      <c r="B94" s="43"/>
      <c r="C94" s="44" t="s">
        <v>16</v>
      </c>
      <c r="D94" s="43"/>
      <c r="E94" s="45"/>
      <c r="F94" s="45"/>
      <c r="G94" s="46"/>
      <c r="H94" s="46"/>
      <c r="I94" s="46">
        <f t="shared" si="17"/>
        <v>0</v>
      </c>
      <c r="J94" s="49"/>
      <c r="K94" s="35"/>
    </row>
    <row r="95" spans="1:11" s="48" customFormat="1" ht="13.2" x14ac:dyDescent="0.25">
      <c r="A95" s="42">
        <v>46002</v>
      </c>
      <c r="B95" s="43"/>
      <c r="C95" s="44" t="s">
        <v>16</v>
      </c>
      <c r="D95" s="43"/>
      <c r="E95" s="45"/>
      <c r="F95" s="45"/>
      <c r="G95" s="46"/>
      <c r="H95" s="46"/>
      <c r="I95" s="46">
        <f t="shared" si="17"/>
        <v>0</v>
      </c>
      <c r="J95" s="49"/>
      <c r="K95" s="35"/>
    </row>
    <row r="96" spans="1:11" s="48" customFormat="1" ht="13.2" x14ac:dyDescent="0.25">
      <c r="A96" s="42">
        <v>46003</v>
      </c>
      <c r="B96" s="43"/>
      <c r="C96" s="44" t="s">
        <v>16</v>
      </c>
      <c r="D96" s="43"/>
      <c r="E96" s="45"/>
      <c r="F96" s="45"/>
      <c r="G96" s="46"/>
      <c r="H96" s="46"/>
      <c r="I96" s="46">
        <f t="shared" si="17"/>
        <v>0</v>
      </c>
      <c r="J96" s="49"/>
      <c r="K96" s="35"/>
    </row>
    <row r="97" spans="1:11" s="48" customFormat="1" ht="13.2" x14ac:dyDescent="0.25">
      <c r="A97" s="42"/>
      <c r="B97" s="43"/>
      <c r="C97" s="44" t="s">
        <v>16</v>
      </c>
      <c r="D97" s="43"/>
      <c r="E97" s="45"/>
      <c r="F97" s="45"/>
      <c r="G97" s="46"/>
      <c r="H97" s="46"/>
      <c r="I97" s="46">
        <f t="shared" si="17"/>
        <v>0</v>
      </c>
      <c r="J97" s="49"/>
      <c r="K97" s="35"/>
    </row>
    <row r="98" spans="1:11" s="48" customFormat="1" ht="13.2" x14ac:dyDescent="0.25">
      <c r="A98" s="42"/>
      <c r="B98" s="43"/>
      <c r="C98" s="44" t="s">
        <v>16</v>
      </c>
      <c r="D98" s="43"/>
      <c r="E98" s="45"/>
      <c r="F98" s="45"/>
      <c r="G98" s="46"/>
      <c r="H98" s="46"/>
      <c r="I98" s="46">
        <f t="shared" si="17"/>
        <v>0</v>
      </c>
      <c r="J98" s="49"/>
      <c r="K98" s="35"/>
    </row>
    <row r="99" spans="1:11" s="48" customFormat="1" ht="13.2" x14ac:dyDescent="0.25">
      <c r="A99" s="42"/>
      <c r="B99" s="43"/>
      <c r="C99" s="44" t="s">
        <v>16</v>
      </c>
      <c r="D99" s="43"/>
      <c r="E99" s="45"/>
      <c r="F99" s="45"/>
      <c r="G99" s="46"/>
      <c r="H99" s="46"/>
      <c r="I99" s="46">
        <f t="shared" si="17"/>
        <v>0</v>
      </c>
      <c r="J99" s="49"/>
      <c r="K99" s="35"/>
    </row>
    <row r="100" spans="1:11" s="48" customFormat="1" ht="13.2" x14ac:dyDescent="0.25">
      <c r="B100" s="43"/>
      <c r="C100" s="44" t="s">
        <v>16</v>
      </c>
      <c r="D100" s="43"/>
      <c r="E100" s="45"/>
      <c r="F100" s="45"/>
      <c r="G100" s="46"/>
      <c r="H100" s="46"/>
      <c r="I100" s="46">
        <f t="shared" ref="I100:I110" si="18">H100-G100</f>
        <v>0</v>
      </c>
      <c r="J100" s="49"/>
      <c r="K100" s="35"/>
    </row>
    <row r="101" spans="1:11" s="48" customFormat="1" ht="13.2" x14ac:dyDescent="0.25">
      <c r="B101" s="43"/>
      <c r="C101" s="44" t="s">
        <v>16</v>
      </c>
      <c r="D101" s="43"/>
      <c r="E101" s="45"/>
      <c r="F101" s="45"/>
      <c r="G101" s="46"/>
      <c r="H101" s="46"/>
      <c r="I101" s="46">
        <f t="shared" si="18"/>
        <v>0</v>
      </c>
      <c r="J101" s="49"/>
      <c r="K101" s="35"/>
    </row>
    <row r="102" spans="1:11" s="48" customFormat="1" ht="13.2" x14ac:dyDescent="0.25">
      <c r="B102" s="43"/>
      <c r="C102" s="44" t="s">
        <v>16</v>
      </c>
      <c r="D102" s="43"/>
      <c r="E102" s="45"/>
      <c r="F102" s="45"/>
      <c r="G102" s="46"/>
      <c r="H102" s="46"/>
      <c r="I102" s="46">
        <f t="shared" si="18"/>
        <v>0</v>
      </c>
      <c r="J102" s="49"/>
      <c r="K102" s="35"/>
    </row>
    <row r="103" spans="1:11" s="48" customFormat="1" ht="13.2" x14ac:dyDescent="0.25">
      <c r="B103" s="43"/>
      <c r="C103" s="44" t="s">
        <v>16</v>
      </c>
      <c r="D103" s="43"/>
      <c r="E103" s="45"/>
      <c r="F103" s="45"/>
      <c r="G103" s="46"/>
      <c r="H103" s="46"/>
      <c r="I103" s="46">
        <f t="shared" si="18"/>
        <v>0</v>
      </c>
      <c r="J103" s="49"/>
      <c r="K103" s="35"/>
    </row>
    <row r="104" spans="1:11" s="48" customFormat="1" ht="13.2" x14ac:dyDescent="0.25">
      <c r="B104" s="43"/>
      <c r="C104" s="44" t="s">
        <v>16</v>
      </c>
      <c r="D104" s="43"/>
      <c r="E104" s="45"/>
      <c r="F104" s="45"/>
      <c r="G104" s="46"/>
      <c r="H104" s="46"/>
      <c r="I104" s="46">
        <f t="shared" si="18"/>
        <v>0</v>
      </c>
      <c r="J104" s="49"/>
      <c r="K104" s="35"/>
    </row>
    <row r="105" spans="1:11" s="48" customFormat="1" ht="13.2" x14ac:dyDescent="0.25">
      <c r="A105" s="42"/>
      <c r="B105" s="43"/>
      <c r="C105" s="44" t="s">
        <v>16</v>
      </c>
      <c r="D105" s="43"/>
      <c r="E105" s="45"/>
      <c r="F105" s="45"/>
      <c r="G105" s="46"/>
      <c r="H105" s="46"/>
      <c r="I105" s="46">
        <f t="shared" si="18"/>
        <v>0</v>
      </c>
      <c r="J105" s="49"/>
      <c r="K105" s="35"/>
    </row>
    <row r="106" spans="1:11" s="48" customFormat="1" ht="13.2" x14ac:dyDescent="0.25">
      <c r="A106" s="42"/>
      <c r="B106" s="43"/>
      <c r="C106" s="44" t="s">
        <v>16</v>
      </c>
      <c r="D106" s="43"/>
      <c r="E106" s="45"/>
      <c r="F106" s="45"/>
      <c r="G106" s="46"/>
      <c r="H106" s="46"/>
      <c r="I106" s="46">
        <f t="shared" si="18"/>
        <v>0</v>
      </c>
      <c r="J106" s="49"/>
      <c r="K106" s="35"/>
    </row>
    <row r="107" spans="1:11" s="48" customFormat="1" ht="13.2" x14ac:dyDescent="0.25">
      <c r="A107" s="42"/>
      <c r="B107" s="43"/>
      <c r="C107" s="44" t="s">
        <v>16</v>
      </c>
      <c r="D107" s="43"/>
      <c r="E107" s="45"/>
      <c r="F107" s="45"/>
      <c r="G107" s="46"/>
      <c r="H107" s="46"/>
      <c r="I107" s="46">
        <f t="shared" si="18"/>
        <v>0</v>
      </c>
      <c r="J107" s="49"/>
      <c r="K107" s="35"/>
    </row>
    <row r="108" spans="1:11" s="48" customFormat="1" ht="13.2" x14ac:dyDescent="0.25">
      <c r="A108" s="42"/>
      <c r="B108" s="43"/>
      <c r="C108" s="44" t="s">
        <v>16</v>
      </c>
      <c r="D108" s="43"/>
      <c r="E108" s="45"/>
      <c r="F108" s="45"/>
      <c r="G108" s="46"/>
      <c r="H108" s="46"/>
      <c r="I108" s="46">
        <f t="shared" si="18"/>
        <v>0</v>
      </c>
      <c r="J108" s="49"/>
      <c r="K108" s="35"/>
    </row>
    <row r="109" spans="1:11" s="48" customFormat="1" ht="13.2" x14ac:dyDescent="0.25">
      <c r="A109" s="42"/>
      <c r="B109" s="43"/>
      <c r="C109" s="44" t="s">
        <v>16</v>
      </c>
      <c r="D109" s="43"/>
      <c r="E109" s="45"/>
      <c r="F109" s="45"/>
      <c r="G109" s="46"/>
      <c r="H109" s="46"/>
      <c r="I109" s="46">
        <f t="shared" si="18"/>
        <v>0</v>
      </c>
      <c r="J109" s="49"/>
      <c r="K109" s="35"/>
    </row>
    <row r="110" spans="1:11" s="48" customFormat="1" ht="13.2" x14ac:dyDescent="0.25">
      <c r="A110" s="42"/>
      <c r="B110" s="43"/>
      <c r="C110" s="44" t="s">
        <v>16</v>
      </c>
      <c r="D110" s="43"/>
      <c r="E110" s="45"/>
      <c r="F110" s="45"/>
      <c r="G110" s="46"/>
      <c r="H110" s="46"/>
      <c r="I110" s="46">
        <f t="shared" si="18"/>
        <v>0</v>
      </c>
      <c r="J110" s="49"/>
      <c r="K110" s="35"/>
    </row>
    <row r="111" spans="1:11" s="48" customFormat="1" ht="13.2" x14ac:dyDescent="0.25">
      <c r="B111" s="43"/>
      <c r="C111" s="44" t="s">
        <v>16</v>
      </c>
      <c r="D111" s="43"/>
      <c r="E111" s="45"/>
      <c r="F111" s="45"/>
      <c r="G111" s="46"/>
      <c r="H111" s="46"/>
      <c r="I111" s="46">
        <f t="shared" ref="I111:I127" si="19">H111-G111</f>
        <v>0</v>
      </c>
      <c r="J111" s="49"/>
      <c r="K111" s="35"/>
    </row>
    <row r="112" spans="1:11" s="48" customFormat="1" ht="13.2" x14ac:dyDescent="0.25">
      <c r="B112" s="43"/>
      <c r="C112" s="44" t="s">
        <v>16</v>
      </c>
      <c r="D112" s="43"/>
      <c r="E112" s="45"/>
      <c r="F112" s="45"/>
      <c r="G112" s="46"/>
      <c r="H112" s="46"/>
      <c r="I112" s="46">
        <f t="shared" si="19"/>
        <v>0</v>
      </c>
      <c r="J112" s="49"/>
      <c r="K112" s="35"/>
    </row>
    <row r="113" spans="1:11" s="48" customFormat="1" ht="13.2" x14ac:dyDescent="0.25">
      <c r="A113" s="42"/>
      <c r="B113" s="43"/>
      <c r="C113" s="44" t="s">
        <v>16</v>
      </c>
      <c r="D113" s="43"/>
      <c r="E113" s="45"/>
      <c r="F113" s="45"/>
      <c r="G113" s="46"/>
      <c r="H113" s="46"/>
      <c r="I113" s="46">
        <f t="shared" si="19"/>
        <v>0</v>
      </c>
      <c r="J113" s="49"/>
      <c r="K113" s="35"/>
    </row>
    <row r="114" spans="1:11" s="48" customFormat="1" ht="13.2" x14ac:dyDescent="0.25">
      <c r="A114" s="42"/>
      <c r="B114" s="43"/>
      <c r="C114" s="44" t="s">
        <v>16</v>
      </c>
      <c r="D114" s="43"/>
      <c r="E114" s="45"/>
      <c r="F114" s="45"/>
      <c r="G114" s="46"/>
      <c r="H114" s="46"/>
      <c r="I114" s="46">
        <f t="shared" si="19"/>
        <v>0</v>
      </c>
      <c r="J114" s="49"/>
      <c r="K114" s="35"/>
    </row>
    <row r="115" spans="1:11" s="48" customFormat="1" ht="13.2" x14ac:dyDescent="0.25">
      <c r="A115" s="42"/>
      <c r="B115" s="43"/>
      <c r="C115" s="44" t="s">
        <v>16</v>
      </c>
      <c r="D115" s="43"/>
      <c r="E115" s="45"/>
      <c r="F115" s="45"/>
      <c r="G115" s="46"/>
      <c r="H115" s="46"/>
      <c r="I115" s="46">
        <f t="shared" si="19"/>
        <v>0</v>
      </c>
      <c r="J115" s="49"/>
      <c r="K115" s="35"/>
    </row>
    <row r="116" spans="1:11" s="48" customFormat="1" ht="13.2" x14ac:dyDescent="0.25">
      <c r="B116" s="43"/>
      <c r="C116" s="44" t="s">
        <v>16</v>
      </c>
      <c r="D116" s="43"/>
      <c r="E116" s="45"/>
      <c r="F116" s="45"/>
      <c r="G116" s="46"/>
      <c r="H116" s="46"/>
      <c r="I116" s="46">
        <f t="shared" si="19"/>
        <v>0</v>
      </c>
      <c r="J116" s="49"/>
      <c r="K116" s="35"/>
    </row>
    <row r="117" spans="1:11" s="48" customFormat="1" ht="13.2" x14ac:dyDescent="0.25">
      <c r="B117" s="43"/>
      <c r="C117" s="44" t="s">
        <v>16</v>
      </c>
      <c r="D117" s="43"/>
      <c r="E117" s="45"/>
      <c r="F117" s="45"/>
      <c r="G117" s="46"/>
      <c r="H117" s="46"/>
      <c r="I117" s="46">
        <f t="shared" si="19"/>
        <v>0</v>
      </c>
      <c r="J117" s="49"/>
      <c r="K117" s="35"/>
    </row>
    <row r="118" spans="1:11" s="48" customFormat="1" ht="13.2" x14ac:dyDescent="0.25">
      <c r="B118" s="43"/>
      <c r="C118" s="44" t="s">
        <v>16</v>
      </c>
      <c r="D118" s="43"/>
      <c r="E118" s="45"/>
      <c r="F118" s="45"/>
      <c r="G118" s="46"/>
      <c r="H118" s="46"/>
      <c r="I118" s="46">
        <f t="shared" si="19"/>
        <v>0</v>
      </c>
      <c r="J118" s="49"/>
      <c r="K118" s="35"/>
    </row>
    <row r="119" spans="1:11" s="48" customFormat="1" ht="13.2" x14ac:dyDescent="0.25">
      <c r="B119" s="43"/>
      <c r="C119" s="44" t="s">
        <v>16</v>
      </c>
      <c r="D119" s="43"/>
      <c r="E119" s="45"/>
      <c r="F119" s="45"/>
      <c r="G119" s="46"/>
      <c r="H119" s="46"/>
      <c r="I119" s="46">
        <f t="shared" si="19"/>
        <v>0</v>
      </c>
      <c r="J119" s="49"/>
      <c r="K119" s="35"/>
    </row>
    <row r="120" spans="1:11" s="48" customFormat="1" ht="13.2" x14ac:dyDescent="0.25">
      <c r="B120" s="43"/>
      <c r="C120" s="44" t="s">
        <v>16</v>
      </c>
      <c r="D120" s="43"/>
      <c r="E120" s="45"/>
      <c r="F120" s="45"/>
      <c r="G120" s="46"/>
      <c r="H120" s="46"/>
      <c r="I120" s="46">
        <f t="shared" si="19"/>
        <v>0</v>
      </c>
      <c r="J120" s="49"/>
      <c r="K120" s="35"/>
    </row>
    <row r="121" spans="1:11" s="48" customFormat="1" ht="13.2" x14ac:dyDescent="0.25">
      <c r="A121" s="42"/>
      <c r="B121" s="43"/>
      <c r="C121" s="44" t="s">
        <v>16</v>
      </c>
      <c r="D121" s="43"/>
      <c r="E121" s="45"/>
      <c r="F121" s="45"/>
      <c r="G121" s="46"/>
      <c r="H121" s="46"/>
      <c r="I121" s="46">
        <f t="shared" si="19"/>
        <v>0</v>
      </c>
      <c r="J121" s="49"/>
      <c r="K121" s="35"/>
    </row>
    <row r="122" spans="1:11" s="48" customFormat="1" ht="13.2" x14ac:dyDescent="0.25">
      <c r="A122" s="42"/>
      <c r="B122" s="43"/>
      <c r="C122" s="44" t="s">
        <v>16</v>
      </c>
      <c r="D122" s="43"/>
      <c r="E122" s="45"/>
      <c r="F122" s="45"/>
      <c r="G122" s="46"/>
      <c r="H122" s="46"/>
      <c r="I122" s="46">
        <f t="shared" si="19"/>
        <v>0</v>
      </c>
      <c r="J122" s="49"/>
      <c r="K122" s="35"/>
    </row>
    <row r="123" spans="1:11" s="48" customFormat="1" ht="13.2" x14ac:dyDescent="0.25">
      <c r="B123" s="43"/>
      <c r="C123" s="44" t="s">
        <v>16</v>
      </c>
      <c r="D123" s="43"/>
      <c r="E123" s="45"/>
      <c r="F123" s="45"/>
      <c r="G123" s="46"/>
      <c r="H123" s="46"/>
      <c r="I123" s="46">
        <f t="shared" si="19"/>
        <v>0</v>
      </c>
      <c r="J123" s="49"/>
      <c r="K123" s="35"/>
    </row>
    <row r="124" spans="1:11" s="48" customFormat="1" ht="13.2" x14ac:dyDescent="0.25">
      <c r="B124" s="43"/>
      <c r="C124" s="44" t="s">
        <v>16</v>
      </c>
      <c r="D124" s="43"/>
      <c r="E124" s="45"/>
      <c r="F124" s="45"/>
      <c r="G124" s="46"/>
      <c r="H124" s="46"/>
      <c r="I124" s="46">
        <f t="shared" si="19"/>
        <v>0</v>
      </c>
      <c r="J124" s="49"/>
      <c r="K124" s="35"/>
    </row>
    <row r="125" spans="1:11" s="48" customFormat="1" ht="13.2" x14ac:dyDescent="0.25">
      <c r="B125" s="43"/>
      <c r="C125" s="44" t="s">
        <v>16</v>
      </c>
      <c r="D125" s="43"/>
      <c r="E125" s="45"/>
      <c r="F125" s="45"/>
      <c r="G125" s="46"/>
      <c r="H125" s="46"/>
      <c r="I125" s="46">
        <f t="shared" si="19"/>
        <v>0</v>
      </c>
      <c r="J125" s="49"/>
      <c r="K125" s="35"/>
    </row>
    <row r="126" spans="1:11" s="48" customFormat="1" ht="13.2" x14ac:dyDescent="0.25">
      <c r="A126" s="42"/>
      <c r="B126" s="43"/>
      <c r="C126" s="44" t="s">
        <v>16</v>
      </c>
      <c r="D126" s="43"/>
      <c r="E126" s="45"/>
      <c r="F126" s="45"/>
      <c r="G126" s="46"/>
      <c r="H126" s="46"/>
      <c r="I126" s="46">
        <f t="shared" si="19"/>
        <v>0</v>
      </c>
      <c r="J126" s="49"/>
      <c r="K126" s="35"/>
    </row>
    <row r="127" spans="1:11" s="48" customFormat="1" ht="13.2" x14ac:dyDescent="0.25">
      <c r="A127" s="42"/>
      <c r="B127" s="43"/>
      <c r="C127" s="44" t="s">
        <v>16</v>
      </c>
      <c r="D127" s="43"/>
      <c r="E127" s="45"/>
      <c r="F127" s="45"/>
      <c r="G127" s="46"/>
      <c r="H127" s="46"/>
      <c r="I127" s="46">
        <f t="shared" si="19"/>
        <v>0</v>
      </c>
      <c r="J127" s="49"/>
      <c r="K127" s="35"/>
    </row>
    <row r="128" spans="1:11" s="48" customFormat="1" ht="13.2" x14ac:dyDescent="0.25">
      <c r="A128" s="42"/>
      <c r="B128" s="43"/>
      <c r="C128" s="44" t="s">
        <v>16</v>
      </c>
      <c r="D128" s="43"/>
      <c r="E128" s="45"/>
      <c r="F128" s="45"/>
      <c r="G128" s="46"/>
      <c r="H128" s="46"/>
      <c r="I128" s="46">
        <f t="shared" si="17"/>
        <v>0</v>
      </c>
      <c r="J128" s="49"/>
      <c r="K128" s="35"/>
    </row>
    <row r="129" spans="1:11" s="48" customFormat="1" ht="13.2" x14ac:dyDescent="0.25">
      <c r="A129" s="42"/>
      <c r="B129" s="43"/>
      <c r="C129" s="44" t="s">
        <v>16</v>
      </c>
      <c r="D129" s="43"/>
      <c r="E129" s="45"/>
      <c r="F129" s="45"/>
      <c r="G129" s="46"/>
      <c r="H129" s="46"/>
      <c r="I129" s="46">
        <f t="shared" si="17"/>
        <v>0</v>
      </c>
      <c r="J129" s="49"/>
      <c r="K129" s="35"/>
    </row>
    <row r="130" spans="1:11" ht="13.2" x14ac:dyDescent="0.25">
      <c r="A130" s="13"/>
      <c r="B130" s="15"/>
      <c r="C130" s="15"/>
      <c r="D130" s="15"/>
      <c r="E130" s="15" t="s">
        <v>17</v>
      </c>
      <c r="F130" s="15"/>
      <c r="G130" s="18">
        <f t="shared" ref="G130:H130" si="20">SUM(G92:G129)</f>
        <v>0</v>
      </c>
      <c r="H130" s="18">
        <f t="shared" si="20"/>
        <v>0</v>
      </c>
      <c r="I130" s="18">
        <f t="shared" si="17"/>
        <v>0</v>
      </c>
      <c r="J130" s="19"/>
      <c r="K130" s="36"/>
    </row>
    <row r="131" spans="1:11" ht="18.75" customHeight="1" x14ac:dyDescent="0.25">
      <c r="A131" s="71" t="s">
        <v>163</v>
      </c>
      <c r="B131" s="63"/>
      <c r="C131" s="63"/>
      <c r="D131" s="63"/>
      <c r="E131" s="63"/>
      <c r="F131" s="63"/>
      <c r="G131" s="63"/>
      <c r="H131" s="63"/>
      <c r="I131" s="63"/>
      <c r="J131" s="63"/>
      <c r="K131" s="64"/>
    </row>
    <row r="132" spans="1:11" ht="13.2" x14ac:dyDescent="0.25">
      <c r="A132" s="27" t="s">
        <v>12</v>
      </c>
      <c r="B132" s="69" t="s">
        <v>13</v>
      </c>
      <c r="C132" s="63"/>
      <c r="D132" s="63"/>
      <c r="E132" s="63"/>
      <c r="F132" s="63"/>
      <c r="G132" s="63"/>
      <c r="H132" s="63"/>
      <c r="I132" s="63"/>
      <c r="J132" s="63"/>
      <c r="K132" s="64"/>
    </row>
    <row r="133" spans="1:11" ht="28.5" customHeight="1" x14ac:dyDescent="0.25">
      <c r="A133" s="28" t="s">
        <v>14</v>
      </c>
      <c r="B133" s="69" t="s">
        <v>15</v>
      </c>
      <c r="C133" s="63"/>
      <c r="D133" s="63"/>
      <c r="E133" s="63"/>
      <c r="F133" s="63"/>
      <c r="G133" s="63"/>
      <c r="H133" s="63"/>
      <c r="I133" s="63"/>
      <c r="J133" s="63"/>
      <c r="K133" s="64"/>
    </row>
    <row r="134" spans="1:11" s="48" customFormat="1" ht="13.2" x14ac:dyDescent="0.25">
      <c r="A134" s="42"/>
      <c r="B134" s="43"/>
      <c r="C134" s="44" t="s">
        <v>16</v>
      </c>
      <c r="D134" s="43"/>
      <c r="E134" s="45"/>
      <c r="F134" s="45"/>
      <c r="G134" s="46"/>
      <c r="H134" s="46"/>
      <c r="I134" s="46">
        <f t="shared" ref="I134:I171" si="21">H134-G134</f>
        <v>0</v>
      </c>
      <c r="J134" s="49"/>
      <c r="K134" s="35"/>
    </row>
    <row r="135" spans="1:11" s="48" customFormat="1" ht="13.2" x14ac:dyDescent="0.25">
      <c r="A135" s="42"/>
      <c r="B135" s="43"/>
      <c r="C135" s="44" t="s">
        <v>16</v>
      </c>
      <c r="D135" s="43"/>
      <c r="E135" s="45"/>
      <c r="F135" s="45"/>
      <c r="G135" s="46"/>
      <c r="H135" s="46"/>
      <c r="I135" s="46">
        <f t="shared" si="21"/>
        <v>0</v>
      </c>
      <c r="J135" s="49"/>
      <c r="K135" s="35"/>
    </row>
    <row r="136" spans="1:11" s="48" customFormat="1" ht="13.2" x14ac:dyDescent="0.25">
      <c r="A136" s="42"/>
      <c r="B136" s="43"/>
      <c r="C136" s="44" t="s">
        <v>16</v>
      </c>
      <c r="D136" s="43"/>
      <c r="E136" s="45"/>
      <c r="F136" s="45"/>
      <c r="G136" s="46"/>
      <c r="H136" s="46"/>
      <c r="I136" s="46">
        <f t="shared" si="21"/>
        <v>0</v>
      </c>
      <c r="J136" s="49"/>
      <c r="K136" s="35"/>
    </row>
    <row r="137" spans="1:11" s="48" customFormat="1" ht="13.2" x14ac:dyDescent="0.25">
      <c r="A137" s="42"/>
      <c r="B137" s="43"/>
      <c r="C137" s="44" t="s">
        <v>16</v>
      </c>
      <c r="D137" s="43"/>
      <c r="E137" s="45"/>
      <c r="F137" s="45"/>
      <c r="G137" s="46"/>
      <c r="H137" s="46"/>
      <c r="I137" s="46">
        <f t="shared" si="21"/>
        <v>0</v>
      </c>
      <c r="J137" s="49"/>
      <c r="K137" s="35"/>
    </row>
    <row r="138" spans="1:11" s="48" customFormat="1" ht="13.2" x14ac:dyDescent="0.25">
      <c r="A138" s="42"/>
      <c r="B138" s="43"/>
      <c r="C138" s="44" t="s">
        <v>16</v>
      </c>
      <c r="D138" s="43"/>
      <c r="E138" s="45"/>
      <c r="F138" s="45"/>
      <c r="G138" s="46"/>
      <c r="H138" s="46"/>
      <c r="I138" s="46">
        <f t="shared" si="21"/>
        <v>0</v>
      </c>
      <c r="J138" s="49"/>
      <c r="K138" s="35"/>
    </row>
    <row r="139" spans="1:11" s="48" customFormat="1" ht="13.2" x14ac:dyDescent="0.25">
      <c r="A139" s="42"/>
      <c r="B139" s="43"/>
      <c r="C139" s="44" t="s">
        <v>16</v>
      </c>
      <c r="D139" s="43"/>
      <c r="E139" s="45"/>
      <c r="F139" s="45"/>
      <c r="G139" s="46"/>
      <c r="H139" s="46"/>
      <c r="I139" s="46">
        <f t="shared" si="21"/>
        <v>0</v>
      </c>
      <c r="J139" s="49"/>
      <c r="K139" s="35"/>
    </row>
    <row r="140" spans="1:11" s="48" customFormat="1" ht="13.2" x14ac:dyDescent="0.25">
      <c r="A140" s="42"/>
      <c r="B140" s="43"/>
      <c r="C140" s="44" t="s">
        <v>16</v>
      </c>
      <c r="D140" s="43"/>
      <c r="E140" s="45"/>
      <c r="F140" s="45"/>
      <c r="G140" s="46"/>
      <c r="H140" s="46"/>
      <c r="I140" s="46">
        <f t="shared" si="21"/>
        <v>0</v>
      </c>
      <c r="J140" s="49"/>
      <c r="K140" s="35"/>
    </row>
    <row r="141" spans="1:11" s="48" customFormat="1" ht="13.2" x14ac:dyDescent="0.25">
      <c r="B141" s="43"/>
      <c r="C141" s="44" t="s">
        <v>16</v>
      </c>
      <c r="D141" s="43"/>
      <c r="E141" s="45"/>
      <c r="F141" s="45"/>
      <c r="G141" s="46"/>
      <c r="H141" s="46"/>
      <c r="I141" s="46">
        <f t="shared" si="21"/>
        <v>0</v>
      </c>
      <c r="J141" s="49"/>
      <c r="K141" s="35"/>
    </row>
    <row r="142" spans="1:11" s="48" customFormat="1" ht="13.2" x14ac:dyDescent="0.25">
      <c r="B142" s="43"/>
      <c r="C142" s="44" t="s">
        <v>16</v>
      </c>
      <c r="D142" s="43"/>
      <c r="E142" s="45"/>
      <c r="F142" s="45"/>
      <c r="G142" s="46"/>
      <c r="H142" s="46"/>
      <c r="I142" s="46">
        <f t="shared" si="21"/>
        <v>0</v>
      </c>
      <c r="J142" s="49"/>
      <c r="K142" s="35"/>
    </row>
    <row r="143" spans="1:11" s="48" customFormat="1" ht="13.2" x14ac:dyDescent="0.25">
      <c r="A143" s="42"/>
      <c r="B143" s="43"/>
      <c r="C143" s="44" t="s">
        <v>16</v>
      </c>
      <c r="D143" s="43"/>
      <c r="E143" s="45"/>
      <c r="F143" s="45"/>
      <c r="G143" s="46"/>
      <c r="H143" s="46"/>
      <c r="I143" s="46">
        <f t="shared" si="21"/>
        <v>0</v>
      </c>
      <c r="J143" s="49"/>
      <c r="K143" s="35"/>
    </row>
    <row r="144" spans="1:11" s="48" customFormat="1" ht="13.2" x14ac:dyDescent="0.25">
      <c r="A144" s="42"/>
      <c r="B144" s="43"/>
      <c r="C144" s="44" t="s">
        <v>16</v>
      </c>
      <c r="D144" s="43"/>
      <c r="E144" s="45"/>
      <c r="F144" s="45"/>
      <c r="G144" s="46"/>
      <c r="H144" s="46"/>
      <c r="I144" s="46">
        <f t="shared" si="21"/>
        <v>0</v>
      </c>
      <c r="J144" s="49"/>
      <c r="K144" s="35"/>
    </row>
    <row r="145" spans="1:11" s="48" customFormat="1" ht="13.2" x14ac:dyDescent="0.25">
      <c r="A145" s="42"/>
      <c r="B145" s="43"/>
      <c r="C145" s="44" t="s">
        <v>16</v>
      </c>
      <c r="D145" s="43"/>
      <c r="E145" s="45"/>
      <c r="F145" s="45"/>
      <c r="G145" s="46"/>
      <c r="H145" s="46"/>
      <c r="I145" s="46">
        <f t="shared" si="21"/>
        <v>0</v>
      </c>
      <c r="J145" s="49"/>
      <c r="K145" s="35"/>
    </row>
    <row r="146" spans="1:11" s="48" customFormat="1" ht="13.2" x14ac:dyDescent="0.25">
      <c r="B146" s="43"/>
      <c r="C146" s="44" t="s">
        <v>16</v>
      </c>
      <c r="D146" s="43"/>
      <c r="E146" s="45"/>
      <c r="F146" s="45"/>
      <c r="G146" s="46"/>
      <c r="H146" s="46"/>
      <c r="I146" s="46">
        <f t="shared" si="21"/>
        <v>0</v>
      </c>
      <c r="J146" s="49"/>
      <c r="K146" s="35"/>
    </row>
    <row r="147" spans="1:11" s="48" customFormat="1" ht="13.2" x14ac:dyDescent="0.25">
      <c r="B147" s="43"/>
      <c r="C147" s="44" t="s">
        <v>16</v>
      </c>
      <c r="D147" s="43"/>
      <c r="E147" s="45"/>
      <c r="F147" s="45"/>
      <c r="G147" s="46"/>
      <c r="H147" s="46"/>
      <c r="I147" s="46">
        <f t="shared" si="21"/>
        <v>0</v>
      </c>
      <c r="J147" s="49"/>
      <c r="K147" s="35"/>
    </row>
    <row r="148" spans="1:11" s="48" customFormat="1" ht="13.2" x14ac:dyDescent="0.25">
      <c r="B148" s="43"/>
      <c r="C148" s="44" t="s">
        <v>16</v>
      </c>
      <c r="D148" s="43"/>
      <c r="E148" s="45"/>
      <c r="F148" s="45"/>
      <c r="G148" s="46"/>
      <c r="H148" s="46"/>
      <c r="I148" s="46">
        <f t="shared" si="21"/>
        <v>0</v>
      </c>
      <c r="J148" s="49"/>
      <c r="K148" s="35"/>
    </row>
    <row r="149" spans="1:11" s="48" customFormat="1" ht="13.2" x14ac:dyDescent="0.25">
      <c r="B149" s="43"/>
      <c r="C149" s="44" t="s">
        <v>16</v>
      </c>
      <c r="D149" s="43"/>
      <c r="E149" s="45"/>
      <c r="F149" s="45"/>
      <c r="G149" s="46"/>
      <c r="H149" s="46"/>
      <c r="I149" s="46">
        <f t="shared" si="21"/>
        <v>0</v>
      </c>
      <c r="J149" s="49"/>
      <c r="K149" s="35"/>
    </row>
    <row r="150" spans="1:11" s="48" customFormat="1" ht="13.2" x14ac:dyDescent="0.25">
      <c r="B150" s="43"/>
      <c r="C150" s="44" t="s">
        <v>16</v>
      </c>
      <c r="D150" s="43"/>
      <c r="E150" s="45"/>
      <c r="F150" s="45"/>
      <c r="G150" s="46"/>
      <c r="H150" s="46"/>
      <c r="I150" s="46">
        <f t="shared" si="21"/>
        <v>0</v>
      </c>
      <c r="J150" s="49"/>
      <c r="K150" s="35"/>
    </row>
    <row r="151" spans="1:11" s="48" customFormat="1" ht="13.2" x14ac:dyDescent="0.25">
      <c r="A151" s="42"/>
      <c r="B151" s="43"/>
      <c r="C151" s="44" t="s">
        <v>16</v>
      </c>
      <c r="D151" s="43"/>
      <c r="E151" s="45"/>
      <c r="F151" s="45"/>
      <c r="G151" s="46"/>
      <c r="H151" s="46"/>
      <c r="I151" s="46">
        <f t="shared" si="21"/>
        <v>0</v>
      </c>
      <c r="J151" s="49"/>
      <c r="K151" s="35"/>
    </row>
    <row r="152" spans="1:11" s="48" customFormat="1" ht="13.2" x14ac:dyDescent="0.25">
      <c r="A152" s="42"/>
      <c r="B152" s="43"/>
      <c r="C152" s="44" t="s">
        <v>16</v>
      </c>
      <c r="D152" s="43"/>
      <c r="E152" s="45"/>
      <c r="F152" s="45"/>
      <c r="G152" s="46"/>
      <c r="H152" s="46"/>
      <c r="I152" s="46">
        <f t="shared" si="21"/>
        <v>0</v>
      </c>
      <c r="J152" s="49"/>
      <c r="K152" s="35"/>
    </row>
    <row r="153" spans="1:11" s="48" customFormat="1" ht="13.2" x14ac:dyDescent="0.25">
      <c r="B153" s="43"/>
      <c r="C153" s="44" t="s">
        <v>16</v>
      </c>
      <c r="D153" s="43"/>
      <c r="E153" s="45"/>
      <c r="F153" s="45"/>
      <c r="G153" s="46"/>
      <c r="H153" s="46"/>
      <c r="I153" s="46">
        <f t="shared" si="21"/>
        <v>0</v>
      </c>
      <c r="J153" s="49"/>
      <c r="K153" s="35"/>
    </row>
    <row r="154" spans="1:11" s="48" customFormat="1" ht="13.2" x14ac:dyDescent="0.25">
      <c r="B154" s="43"/>
      <c r="C154" s="44" t="s">
        <v>16</v>
      </c>
      <c r="D154" s="43"/>
      <c r="E154" s="45"/>
      <c r="F154" s="45"/>
      <c r="G154" s="46"/>
      <c r="H154" s="46"/>
      <c r="I154" s="46">
        <f t="shared" si="21"/>
        <v>0</v>
      </c>
      <c r="J154" s="49"/>
      <c r="K154" s="35"/>
    </row>
    <row r="155" spans="1:11" s="48" customFormat="1" ht="13.2" x14ac:dyDescent="0.25">
      <c r="B155" s="43"/>
      <c r="C155" s="44" t="s">
        <v>16</v>
      </c>
      <c r="D155" s="43"/>
      <c r="E155" s="45"/>
      <c r="F155" s="45"/>
      <c r="G155" s="46"/>
      <c r="H155" s="46"/>
      <c r="I155" s="46">
        <f t="shared" si="21"/>
        <v>0</v>
      </c>
      <c r="J155" s="49"/>
      <c r="K155" s="35"/>
    </row>
    <row r="156" spans="1:11" s="48" customFormat="1" ht="13.2" x14ac:dyDescent="0.25">
      <c r="A156" s="42"/>
      <c r="B156" s="43"/>
      <c r="C156" s="44" t="s">
        <v>16</v>
      </c>
      <c r="D156" s="43"/>
      <c r="E156" s="45"/>
      <c r="F156" s="45"/>
      <c r="G156" s="46"/>
      <c r="H156" s="46"/>
      <c r="I156" s="46">
        <f t="shared" si="21"/>
        <v>0</v>
      </c>
      <c r="J156" s="49"/>
      <c r="K156" s="35"/>
    </row>
    <row r="157" spans="1:11" s="48" customFormat="1" ht="13.2" x14ac:dyDescent="0.25">
      <c r="A157" s="42"/>
      <c r="B157" s="43"/>
      <c r="C157" s="44" t="s">
        <v>16</v>
      </c>
      <c r="D157" s="43"/>
      <c r="E157" s="45"/>
      <c r="F157" s="45"/>
      <c r="G157" s="46"/>
      <c r="H157" s="46"/>
      <c r="I157" s="46">
        <f t="shared" si="21"/>
        <v>0</v>
      </c>
      <c r="J157" s="49"/>
      <c r="K157" s="35"/>
    </row>
    <row r="158" spans="1:11" s="48" customFormat="1" ht="13.2" x14ac:dyDescent="0.25">
      <c r="A158" s="42"/>
      <c r="B158" s="43"/>
      <c r="C158" s="44" t="s">
        <v>16</v>
      </c>
      <c r="D158" s="43"/>
      <c r="E158" s="45"/>
      <c r="F158" s="45"/>
      <c r="G158" s="46"/>
      <c r="H158" s="46"/>
      <c r="I158" s="46">
        <f t="shared" si="21"/>
        <v>0</v>
      </c>
      <c r="J158" s="49"/>
      <c r="K158" s="35"/>
    </row>
    <row r="159" spans="1:11" s="48" customFormat="1" ht="13.2" x14ac:dyDescent="0.25">
      <c r="A159" s="42"/>
      <c r="B159" s="43"/>
      <c r="C159" s="44" t="s">
        <v>16</v>
      </c>
      <c r="D159" s="43"/>
      <c r="E159" s="45"/>
      <c r="F159" s="45"/>
      <c r="G159" s="46"/>
      <c r="H159" s="46"/>
      <c r="I159" s="46">
        <f t="shared" si="21"/>
        <v>0</v>
      </c>
      <c r="J159" s="49"/>
      <c r="K159" s="35"/>
    </row>
    <row r="160" spans="1:11" s="48" customFormat="1" ht="13.2" x14ac:dyDescent="0.25">
      <c r="A160" s="42"/>
      <c r="B160" s="43"/>
      <c r="C160" s="44" t="s">
        <v>16</v>
      </c>
      <c r="D160" s="43"/>
      <c r="E160" s="45"/>
      <c r="F160" s="45"/>
      <c r="G160" s="46"/>
      <c r="H160" s="46"/>
      <c r="I160" s="46">
        <f t="shared" si="21"/>
        <v>0</v>
      </c>
      <c r="J160" s="49"/>
      <c r="K160" s="35"/>
    </row>
    <row r="161" spans="1:11" s="48" customFormat="1" ht="13.2" x14ac:dyDescent="0.25">
      <c r="A161" s="42"/>
      <c r="B161" s="43"/>
      <c r="C161" s="44" t="s">
        <v>16</v>
      </c>
      <c r="D161" s="43"/>
      <c r="E161" s="45"/>
      <c r="F161" s="45"/>
      <c r="G161" s="46"/>
      <c r="H161" s="46"/>
      <c r="I161" s="46">
        <f t="shared" si="21"/>
        <v>0</v>
      </c>
      <c r="J161" s="49"/>
      <c r="K161" s="35"/>
    </row>
    <row r="162" spans="1:11" s="48" customFormat="1" ht="13.2" x14ac:dyDescent="0.25">
      <c r="A162" s="42"/>
      <c r="B162" s="43"/>
      <c r="C162" s="44" t="s">
        <v>16</v>
      </c>
      <c r="D162" s="43"/>
      <c r="E162" s="45"/>
      <c r="F162" s="45"/>
      <c r="G162" s="46"/>
      <c r="H162" s="46"/>
      <c r="I162" s="46">
        <f t="shared" ref="I162:I168" si="22">H162-G162</f>
        <v>0</v>
      </c>
      <c r="J162" s="49"/>
      <c r="K162" s="35"/>
    </row>
    <row r="163" spans="1:11" s="48" customFormat="1" ht="13.2" x14ac:dyDescent="0.25">
      <c r="A163" s="42"/>
      <c r="B163" s="43"/>
      <c r="C163" s="44" t="s">
        <v>16</v>
      </c>
      <c r="D163" s="43"/>
      <c r="E163" s="45"/>
      <c r="F163" s="45"/>
      <c r="G163" s="46"/>
      <c r="H163" s="46"/>
      <c r="I163" s="46">
        <f t="shared" si="22"/>
        <v>0</v>
      </c>
      <c r="J163" s="49"/>
      <c r="K163" s="35"/>
    </row>
    <row r="164" spans="1:11" s="48" customFormat="1" ht="13.2" x14ac:dyDescent="0.25">
      <c r="A164" s="42"/>
      <c r="B164" s="43"/>
      <c r="C164" s="44" t="s">
        <v>16</v>
      </c>
      <c r="D164" s="43"/>
      <c r="E164" s="45"/>
      <c r="F164" s="45"/>
      <c r="G164" s="46"/>
      <c r="H164" s="46"/>
      <c r="I164" s="46">
        <f t="shared" si="22"/>
        <v>0</v>
      </c>
      <c r="J164" s="49"/>
      <c r="K164" s="35"/>
    </row>
    <row r="165" spans="1:11" s="48" customFormat="1" ht="13.2" x14ac:dyDescent="0.25">
      <c r="A165" s="42"/>
      <c r="B165" s="43"/>
      <c r="C165" s="44" t="s">
        <v>16</v>
      </c>
      <c r="D165" s="43"/>
      <c r="E165" s="45"/>
      <c r="F165" s="45"/>
      <c r="G165" s="46"/>
      <c r="H165" s="46"/>
      <c r="I165" s="46">
        <f t="shared" si="22"/>
        <v>0</v>
      </c>
      <c r="J165" s="49"/>
      <c r="K165" s="35"/>
    </row>
    <row r="166" spans="1:11" s="48" customFormat="1" ht="13.2" x14ac:dyDescent="0.25">
      <c r="A166" s="42"/>
      <c r="B166" s="43"/>
      <c r="C166" s="44" t="s">
        <v>16</v>
      </c>
      <c r="D166" s="43"/>
      <c r="E166" s="45"/>
      <c r="F166" s="45"/>
      <c r="G166" s="46"/>
      <c r="H166" s="46"/>
      <c r="I166" s="46">
        <f t="shared" si="22"/>
        <v>0</v>
      </c>
      <c r="J166" s="49"/>
      <c r="K166" s="35"/>
    </row>
    <row r="167" spans="1:11" s="48" customFormat="1" ht="13.2" x14ac:dyDescent="0.25">
      <c r="A167" s="42"/>
      <c r="B167" s="43"/>
      <c r="C167" s="44" t="s">
        <v>16</v>
      </c>
      <c r="D167" s="43"/>
      <c r="E167" s="45"/>
      <c r="F167" s="45"/>
      <c r="G167" s="46"/>
      <c r="H167" s="46"/>
      <c r="I167" s="46">
        <f t="shared" si="22"/>
        <v>0</v>
      </c>
      <c r="J167" s="49"/>
      <c r="K167" s="35"/>
    </row>
    <row r="168" spans="1:11" s="48" customFormat="1" ht="13.2" x14ac:dyDescent="0.25">
      <c r="A168" s="42"/>
      <c r="B168" s="43"/>
      <c r="C168" s="44" t="s">
        <v>16</v>
      </c>
      <c r="D168" s="43"/>
      <c r="E168" s="45"/>
      <c r="F168" s="45"/>
      <c r="G168" s="46"/>
      <c r="H168" s="46"/>
      <c r="I168" s="46">
        <f t="shared" si="22"/>
        <v>0</v>
      </c>
      <c r="J168" s="49"/>
      <c r="K168" s="35"/>
    </row>
    <row r="169" spans="1:11" s="48" customFormat="1" ht="13.2" x14ac:dyDescent="0.25">
      <c r="A169" s="42"/>
      <c r="B169" s="43"/>
      <c r="C169" s="44" t="s">
        <v>16</v>
      </c>
      <c r="D169" s="43"/>
      <c r="E169" s="45"/>
      <c r="F169" s="45"/>
      <c r="G169" s="46"/>
      <c r="H169" s="46"/>
      <c r="I169" s="46">
        <f t="shared" si="21"/>
        <v>0</v>
      </c>
      <c r="J169" s="49"/>
      <c r="K169" s="35"/>
    </row>
    <row r="170" spans="1:11" s="48" customFormat="1" ht="13.2" x14ac:dyDescent="0.25">
      <c r="A170" s="42"/>
      <c r="B170" s="43"/>
      <c r="C170" s="44" t="s">
        <v>16</v>
      </c>
      <c r="D170" s="43"/>
      <c r="E170" s="45"/>
      <c r="F170" s="45"/>
      <c r="G170" s="46"/>
      <c r="H170" s="46"/>
      <c r="I170" s="46">
        <f t="shared" si="21"/>
        <v>0</v>
      </c>
      <c r="J170" s="49"/>
      <c r="K170" s="35"/>
    </row>
    <row r="171" spans="1:11" ht="13.2" x14ac:dyDescent="0.25">
      <c r="A171" s="13"/>
      <c r="B171" s="15"/>
      <c r="C171" s="15"/>
      <c r="D171" s="15"/>
      <c r="E171" s="15" t="s">
        <v>17</v>
      </c>
      <c r="F171" s="15"/>
      <c r="G171" s="18">
        <f t="shared" ref="G171:H171" si="23">SUM(G134:G170)</f>
        <v>0</v>
      </c>
      <c r="H171" s="18">
        <f t="shared" si="23"/>
        <v>0</v>
      </c>
      <c r="I171" s="18">
        <f t="shared" si="21"/>
        <v>0</v>
      </c>
      <c r="J171" s="19"/>
      <c r="K171" s="36"/>
    </row>
    <row r="172" spans="1:11" ht="18.75" customHeight="1" x14ac:dyDescent="0.25">
      <c r="A172" s="55" t="s">
        <v>22</v>
      </c>
      <c r="B172" s="56"/>
      <c r="C172" s="56"/>
      <c r="D172" s="56"/>
      <c r="E172" s="56"/>
      <c r="F172" s="56"/>
      <c r="G172" s="56"/>
      <c r="H172" s="56"/>
      <c r="I172" s="56"/>
      <c r="J172" s="56"/>
      <c r="K172" s="57"/>
    </row>
    <row r="173" spans="1:11" ht="13.2" x14ac:dyDescent="0.25">
      <c r="A173" s="30" t="s">
        <v>12</v>
      </c>
      <c r="B173" s="58" t="s">
        <v>13</v>
      </c>
      <c r="C173" s="56"/>
      <c r="D173" s="56"/>
      <c r="E173" s="56"/>
      <c r="F173" s="56"/>
      <c r="G173" s="56"/>
      <c r="H173" s="56"/>
      <c r="I173" s="56"/>
      <c r="J173" s="56"/>
      <c r="K173" s="57"/>
    </row>
    <row r="174" spans="1:11" ht="28.5" customHeight="1" x14ac:dyDescent="0.25">
      <c r="A174" s="31" t="s">
        <v>14</v>
      </c>
      <c r="B174" s="58" t="s">
        <v>15</v>
      </c>
      <c r="C174" s="56"/>
      <c r="D174" s="56"/>
      <c r="E174" s="56"/>
      <c r="F174" s="56"/>
      <c r="G174" s="56"/>
      <c r="H174" s="56"/>
      <c r="I174" s="56"/>
      <c r="J174" s="56"/>
      <c r="K174" s="57"/>
    </row>
    <row r="175" spans="1:11" s="48" customFormat="1" ht="13.2" x14ac:dyDescent="0.25">
      <c r="A175" s="42"/>
      <c r="B175" s="43"/>
      <c r="C175" s="44" t="s">
        <v>16</v>
      </c>
      <c r="D175" s="43"/>
      <c r="E175" s="45"/>
      <c r="F175" s="45"/>
      <c r="G175" s="46"/>
      <c r="H175" s="46"/>
      <c r="I175" s="46">
        <f t="shared" ref="I175:I216" si="24">H175-G175</f>
        <v>0</v>
      </c>
      <c r="J175" s="49"/>
      <c r="K175" s="35"/>
    </row>
    <row r="176" spans="1:11" s="48" customFormat="1" ht="13.2" x14ac:dyDescent="0.25">
      <c r="A176" s="42"/>
      <c r="B176" s="43"/>
      <c r="C176" s="44" t="s">
        <v>16</v>
      </c>
      <c r="D176" s="43"/>
      <c r="E176" s="45"/>
      <c r="F176" s="45"/>
      <c r="G176" s="46"/>
      <c r="H176" s="46"/>
      <c r="I176" s="46">
        <f t="shared" si="24"/>
        <v>0</v>
      </c>
      <c r="J176" s="49"/>
      <c r="K176" s="35"/>
    </row>
    <row r="177" spans="1:11" s="48" customFormat="1" ht="13.2" x14ac:dyDescent="0.25">
      <c r="A177" s="42"/>
      <c r="B177" s="43"/>
      <c r="C177" s="44" t="s">
        <v>16</v>
      </c>
      <c r="D177" s="43"/>
      <c r="E177" s="45"/>
      <c r="F177" s="45"/>
      <c r="G177" s="46"/>
      <c r="H177" s="46"/>
      <c r="I177" s="46">
        <f t="shared" si="24"/>
        <v>0</v>
      </c>
      <c r="J177" s="49"/>
      <c r="K177" s="35"/>
    </row>
    <row r="178" spans="1:11" s="48" customFormat="1" ht="13.2" x14ac:dyDescent="0.25">
      <c r="A178" s="42"/>
      <c r="B178" s="43"/>
      <c r="C178" s="44" t="s">
        <v>16</v>
      </c>
      <c r="D178" s="43"/>
      <c r="E178" s="45"/>
      <c r="F178" s="45"/>
      <c r="G178" s="46"/>
      <c r="H178" s="46"/>
      <c r="I178" s="46">
        <f t="shared" si="24"/>
        <v>0</v>
      </c>
      <c r="J178" s="49"/>
      <c r="K178" s="35"/>
    </row>
    <row r="179" spans="1:11" s="48" customFormat="1" ht="13.2" x14ac:dyDescent="0.25">
      <c r="A179" s="42"/>
      <c r="B179" s="43"/>
      <c r="C179" s="44" t="s">
        <v>16</v>
      </c>
      <c r="D179" s="43"/>
      <c r="E179" s="45"/>
      <c r="F179" s="45"/>
      <c r="G179" s="46"/>
      <c r="H179" s="46"/>
      <c r="I179" s="46">
        <f t="shared" si="24"/>
        <v>0</v>
      </c>
      <c r="J179" s="49"/>
      <c r="K179" s="35"/>
    </row>
    <row r="180" spans="1:11" s="48" customFormat="1" ht="13.2" x14ac:dyDescent="0.25">
      <c r="A180" s="42"/>
      <c r="B180" s="43"/>
      <c r="C180" s="44" t="s">
        <v>16</v>
      </c>
      <c r="D180" s="43"/>
      <c r="E180" s="45"/>
      <c r="F180" s="45"/>
      <c r="G180" s="46"/>
      <c r="H180" s="46"/>
      <c r="I180" s="46">
        <f t="shared" si="24"/>
        <v>0</v>
      </c>
      <c r="J180" s="49"/>
      <c r="K180" s="35"/>
    </row>
    <row r="181" spans="1:11" s="48" customFormat="1" ht="13.2" x14ac:dyDescent="0.25">
      <c r="A181" s="42"/>
      <c r="B181" s="43"/>
      <c r="C181" s="44" t="s">
        <v>16</v>
      </c>
      <c r="D181" s="43"/>
      <c r="E181" s="45"/>
      <c r="F181" s="45"/>
      <c r="G181" s="46"/>
      <c r="H181" s="46"/>
      <c r="I181" s="46">
        <f t="shared" si="24"/>
        <v>0</v>
      </c>
      <c r="J181" s="49"/>
      <c r="K181" s="35"/>
    </row>
    <row r="182" spans="1:11" s="48" customFormat="1" ht="13.2" x14ac:dyDescent="0.25">
      <c r="A182" s="42"/>
      <c r="B182" s="43"/>
      <c r="C182" s="44" t="s">
        <v>16</v>
      </c>
      <c r="D182" s="43"/>
      <c r="E182" s="45"/>
      <c r="F182" s="45"/>
      <c r="G182" s="46"/>
      <c r="H182" s="46"/>
      <c r="I182" s="46">
        <f t="shared" si="24"/>
        <v>0</v>
      </c>
      <c r="J182" s="49"/>
      <c r="K182" s="35"/>
    </row>
    <row r="183" spans="1:11" s="48" customFormat="1" ht="13.2" x14ac:dyDescent="0.25">
      <c r="A183" s="42"/>
      <c r="B183" s="43"/>
      <c r="C183" s="44" t="s">
        <v>16</v>
      </c>
      <c r="D183" s="43"/>
      <c r="E183" s="45"/>
      <c r="F183" s="45"/>
      <c r="G183" s="46"/>
      <c r="H183" s="46"/>
      <c r="I183" s="46">
        <f t="shared" si="24"/>
        <v>0</v>
      </c>
      <c r="J183" s="49"/>
      <c r="K183" s="35"/>
    </row>
    <row r="184" spans="1:11" s="48" customFormat="1" ht="13.2" x14ac:dyDescent="0.25">
      <c r="B184" s="43"/>
      <c r="C184" s="44" t="s">
        <v>16</v>
      </c>
      <c r="D184" s="43"/>
      <c r="E184" s="45"/>
      <c r="F184" s="45"/>
      <c r="G184" s="46"/>
      <c r="H184" s="46"/>
      <c r="I184" s="46">
        <f t="shared" si="24"/>
        <v>0</v>
      </c>
      <c r="J184" s="49"/>
      <c r="K184" s="35"/>
    </row>
    <row r="185" spans="1:11" s="48" customFormat="1" ht="13.2" x14ac:dyDescent="0.25">
      <c r="B185" s="43"/>
      <c r="C185" s="44" t="s">
        <v>16</v>
      </c>
      <c r="D185" s="43"/>
      <c r="E185" s="45"/>
      <c r="F185" s="45"/>
      <c r="G185" s="46"/>
      <c r="H185" s="46"/>
      <c r="I185" s="46">
        <f t="shared" si="24"/>
        <v>0</v>
      </c>
      <c r="J185" s="49"/>
      <c r="K185" s="35"/>
    </row>
    <row r="186" spans="1:11" s="48" customFormat="1" ht="13.2" x14ac:dyDescent="0.25">
      <c r="A186" s="42"/>
      <c r="B186" s="43"/>
      <c r="C186" s="44" t="s">
        <v>16</v>
      </c>
      <c r="D186" s="43"/>
      <c r="E186" s="45"/>
      <c r="F186" s="45"/>
      <c r="G186" s="46"/>
      <c r="H186" s="46"/>
      <c r="I186" s="46">
        <f t="shared" si="24"/>
        <v>0</v>
      </c>
      <c r="J186" s="49"/>
      <c r="K186" s="35"/>
    </row>
    <row r="187" spans="1:11" s="48" customFormat="1" ht="13.2" x14ac:dyDescent="0.25">
      <c r="A187" s="42"/>
      <c r="B187" s="43"/>
      <c r="C187" s="44" t="s">
        <v>16</v>
      </c>
      <c r="D187" s="43"/>
      <c r="E187" s="45"/>
      <c r="F187" s="45"/>
      <c r="G187" s="46"/>
      <c r="H187" s="46"/>
      <c r="I187" s="46">
        <f t="shared" si="24"/>
        <v>0</v>
      </c>
      <c r="J187" s="49"/>
      <c r="K187" s="35"/>
    </row>
    <row r="188" spans="1:11" s="48" customFormat="1" ht="13.2" x14ac:dyDescent="0.25">
      <c r="A188" s="42"/>
      <c r="B188" s="43"/>
      <c r="C188" s="44" t="s">
        <v>16</v>
      </c>
      <c r="D188" s="43"/>
      <c r="E188" s="45"/>
      <c r="F188" s="45"/>
      <c r="G188" s="46"/>
      <c r="H188" s="46"/>
      <c r="I188" s="46">
        <f t="shared" si="24"/>
        <v>0</v>
      </c>
      <c r="J188" s="49"/>
      <c r="K188" s="35"/>
    </row>
    <row r="189" spans="1:11" s="48" customFormat="1" ht="13.2" x14ac:dyDescent="0.25">
      <c r="B189" s="43"/>
      <c r="C189" s="44" t="s">
        <v>16</v>
      </c>
      <c r="D189" s="43"/>
      <c r="E189" s="45"/>
      <c r="F189" s="45"/>
      <c r="G189" s="46"/>
      <c r="H189" s="46"/>
      <c r="I189" s="46">
        <f t="shared" si="24"/>
        <v>0</v>
      </c>
      <c r="J189" s="49"/>
      <c r="K189" s="35"/>
    </row>
    <row r="190" spans="1:11" s="48" customFormat="1" ht="13.2" x14ac:dyDescent="0.25">
      <c r="B190" s="43"/>
      <c r="C190" s="44" t="s">
        <v>16</v>
      </c>
      <c r="D190" s="43"/>
      <c r="E190" s="45"/>
      <c r="F190" s="45"/>
      <c r="G190" s="46"/>
      <c r="H190" s="46"/>
      <c r="I190" s="46">
        <f t="shared" si="24"/>
        <v>0</v>
      </c>
      <c r="J190" s="49"/>
      <c r="K190" s="35"/>
    </row>
    <row r="191" spans="1:11" s="48" customFormat="1" ht="13.2" x14ac:dyDescent="0.25">
      <c r="B191" s="43"/>
      <c r="C191" s="44" t="s">
        <v>16</v>
      </c>
      <c r="D191" s="43"/>
      <c r="E191" s="45"/>
      <c r="F191" s="45"/>
      <c r="G191" s="46"/>
      <c r="H191" s="46"/>
      <c r="I191" s="46">
        <f t="shared" si="24"/>
        <v>0</v>
      </c>
      <c r="J191" s="49"/>
      <c r="K191" s="35"/>
    </row>
    <row r="192" spans="1:11" s="48" customFormat="1" ht="13.2" x14ac:dyDescent="0.25">
      <c r="B192" s="43"/>
      <c r="C192" s="44" t="s">
        <v>16</v>
      </c>
      <c r="D192" s="43"/>
      <c r="E192" s="45"/>
      <c r="F192" s="45"/>
      <c r="G192" s="46"/>
      <c r="H192" s="46"/>
      <c r="I192" s="46">
        <f t="shared" si="24"/>
        <v>0</v>
      </c>
      <c r="J192" s="49"/>
      <c r="K192" s="35"/>
    </row>
    <row r="193" spans="1:11" s="48" customFormat="1" ht="13.2" x14ac:dyDescent="0.25">
      <c r="B193" s="43"/>
      <c r="C193" s="44" t="s">
        <v>16</v>
      </c>
      <c r="D193" s="43"/>
      <c r="E193" s="45"/>
      <c r="F193" s="45"/>
      <c r="G193" s="46"/>
      <c r="H193" s="46"/>
      <c r="I193" s="46">
        <f t="shared" si="24"/>
        <v>0</v>
      </c>
      <c r="J193" s="49"/>
      <c r="K193" s="35"/>
    </row>
    <row r="194" spans="1:11" s="48" customFormat="1" ht="13.2" x14ac:dyDescent="0.25">
      <c r="A194" s="42"/>
      <c r="B194" s="43"/>
      <c r="C194" s="44" t="s">
        <v>16</v>
      </c>
      <c r="D194" s="43"/>
      <c r="E194" s="45"/>
      <c r="F194" s="45"/>
      <c r="G194" s="46"/>
      <c r="H194" s="46"/>
      <c r="I194" s="46">
        <f t="shared" si="24"/>
        <v>0</v>
      </c>
      <c r="J194" s="49"/>
      <c r="K194" s="35"/>
    </row>
    <row r="195" spans="1:11" s="48" customFormat="1" ht="13.2" x14ac:dyDescent="0.25">
      <c r="A195" s="42"/>
      <c r="B195" s="43"/>
      <c r="C195" s="44" t="s">
        <v>16</v>
      </c>
      <c r="D195" s="43"/>
      <c r="E195" s="45"/>
      <c r="F195" s="45"/>
      <c r="G195" s="46"/>
      <c r="H195" s="46"/>
      <c r="I195" s="46">
        <f t="shared" si="24"/>
        <v>0</v>
      </c>
      <c r="J195" s="49"/>
      <c r="K195" s="35"/>
    </row>
    <row r="196" spans="1:11" s="48" customFormat="1" ht="13.2" x14ac:dyDescent="0.25">
      <c r="B196" s="43"/>
      <c r="C196" s="44" t="s">
        <v>16</v>
      </c>
      <c r="D196" s="43"/>
      <c r="E196" s="45"/>
      <c r="F196" s="45"/>
      <c r="G196" s="46"/>
      <c r="H196" s="46"/>
      <c r="I196" s="46">
        <f t="shared" si="24"/>
        <v>0</v>
      </c>
      <c r="J196" s="49"/>
      <c r="K196" s="35"/>
    </row>
    <row r="197" spans="1:11" s="48" customFormat="1" ht="13.2" x14ac:dyDescent="0.25">
      <c r="B197" s="43"/>
      <c r="C197" s="44" t="s">
        <v>16</v>
      </c>
      <c r="D197" s="43"/>
      <c r="E197" s="45"/>
      <c r="F197" s="45"/>
      <c r="G197" s="46"/>
      <c r="H197" s="46"/>
      <c r="I197" s="46">
        <f t="shared" si="24"/>
        <v>0</v>
      </c>
      <c r="J197" s="49"/>
      <c r="K197" s="35"/>
    </row>
    <row r="198" spans="1:11" s="48" customFormat="1" ht="13.2" x14ac:dyDescent="0.25">
      <c r="B198" s="43"/>
      <c r="C198" s="44" t="s">
        <v>16</v>
      </c>
      <c r="D198" s="43"/>
      <c r="E198" s="45"/>
      <c r="F198" s="45"/>
      <c r="G198" s="46"/>
      <c r="H198" s="46"/>
      <c r="I198" s="46">
        <f t="shared" si="24"/>
        <v>0</v>
      </c>
      <c r="J198" s="49"/>
      <c r="K198" s="35"/>
    </row>
    <row r="199" spans="1:11" s="48" customFormat="1" ht="13.2" x14ac:dyDescent="0.25">
      <c r="A199" s="42"/>
      <c r="B199" s="43"/>
      <c r="C199" s="44" t="s">
        <v>16</v>
      </c>
      <c r="D199" s="43"/>
      <c r="E199" s="45"/>
      <c r="F199" s="45"/>
      <c r="G199" s="46"/>
      <c r="H199" s="46"/>
      <c r="I199" s="46">
        <f t="shared" si="24"/>
        <v>0</v>
      </c>
      <c r="J199" s="49"/>
      <c r="K199" s="35"/>
    </row>
    <row r="200" spans="1:11" s="48" customFormat="1" ht="13.2" x14ac:dyDescent="0.25">
      <c r="A200" s="42"/>
      <c r="B200" s="43"/>
      <c r="C200" s="44" t="s">
        <v>16</v>
      </c>
      <c r="D200" s="43"/>
      <c r="E200" s="45"/>
      <c r="F200" s="45"/>
      <c r="G200" s="46"/>
      <c r="H200" s="46"/>
      <c r="I200" s="46">
        <f t="shared" si="24"/>
        <v>0</v>
      </c>
      <c r="J200" s="49"/>
      <c r="K200" s="35"/>
    </row>
    <row r="201" spans="1:11" s="48" customFormat="1" ht="13.2" x14ac:dyDescent="0.25">
      <c r="A201" s="42"/>
      <c r="B201" s="43"/>
      <c r="C201" s="44" t="s">
        <v>16</v>
      </c>
      <c r="D201" s="43"/>
      <c r="E201" s="45"/>
      <c r="F201" s="45"/>
      <c r="G201" s="46"/>
      <c r="H201" s="46"/>
      <c r="I201" s="46">
        <f t="shared" si="24"/>
        <v>0</v>
      </c>
      <c r="J201" s="49"/>
      <c r="K201" s="35"/>
    </row>
    <row r="202" spans="1:11" s="48" customFormat="1" ht="13.2" x14ac:dyDescent="0.25">
      <c r="A202" s="42"/>
      <c r="B202" s="43"/>
      <c r="C202" s="44" t="s">
        <v>16</v>
      </c>
      <c r="D202" s="43"/>
      <c r="E202" s="45"/>
      <c r="F202" s="45"/>
      <c r="G202" s="46"/>
      <c r="H202" s="46"/>
      <c r="I202" s="46">
        <f t="shared" si="24"/>
        <v>0</v>
      </c>
      <c r="J202" s="49"/>
      <c r="K202" s="35"/>
    </row>
    <row r="203" spans="1:11" s="48" customFormat="1" ht="13.2" x14ac:dyDescent="0.25">
      <c r="A203" s="42"/>
      <c r="B203" s="43"/>
      <c r="C203" s="44" t="s">
        <v>16</v>
      </c>
      <c r="D203" s="43"/>
      <c r="E203" s="45"/>
      <c r="F203" s="45"/>
      <c r="G203" s="46"/>
      <c r="H203" s="46"/>
      <c r="I203" s="46">
        <f t="shared" si="24"/>
        <v>0</v>
      </c>
      <c r="J203" s="49"/>
      <c r="K203" s="35"/>
    </row>
    <row r="204" spans="1:11" s="48" customFormat="1" ht="13.2" x14ac:dyDescent="0.25">
      <c r="A204" s="42"/>
      <c r="B204" s="43"/>
      <c r="C204" s="44" t="s">
        <v>16</v>
      </c>
      <c r="D204" s="43"/>
      <c r="E204" s="45"/>
      <c r="F204" s="45"/>
      <c r="G204" s="46"/>
      <c r="H204" s="46"/>
      <c r="I204" s="46">
        <f t="shared" si="24"/>
        <v>0</v>
      </c>
      <c r="J204" s="49"/>
      <c r="K204" s="35"/>
    </row>
    <row r="205" spans="1:11" s="48" customFormat="1" ht="13.2" x14ac:dyDescent="0.25">
      <c r="A205" s="42"/>
      <c r="B205" s="43"/>
      <c r="C205" s="44" t="s">
        <v>16</v>
      </c>
      <c r="D205" s="43"/>
      <c r="E205" s="45"/>
      <c r="F205" s="45"/>
      <c r="G205" s="46"/>
      <c r="H205" s="46"/>
      <c r="I205" s="46">
        <f t="shared" si="24"/>
        <v>0</v>
      </c>
      <c r="J205" s="49"/>
      <c r="K205" s="35"/>
    </row>
    <row r="206" spans="1:11" s="48" customFormat="1" ht="13.2" x14ac:dyDescent="0.25">
      <c r="A206" s="42"/>
      <c r="B206" s="43"/>
      <c r="C206" s="44" t="s">
        <v>16</v>
      </c>
      <c r="D206" s="43"/>
      <c r="E206" s="45"/>
      <c r="F206" s="45"/>
      <c r="G206" s="46"/>
      <c r="H206" s="46"/>
      <c r="I206" s="46">
        <f t="shared" ref="I206:I213" si="25">H206-G206</f>
        <v>0</v>
      </c>
      <c r="J206" s="49"/>
      <c r="K206" s="35"/>
    </row>
    <row r="207" spans="1:11" s="48" customFormat="1" ht="13.2" x14ac:dyDescent="0.25">
      <c r="A207" s="42"/>
      <c r="B207" s="43"/>
      <c r="C207" s="44" t="s">
        <v>16</v>
      </c>
      <c r="D207" s="43"/>
      <c r="E207" s="45"/>
      <c r="F207" s="45"/>
      <c r="G207" s="46"/>
      <c r="H207" s="46"/>
      <c r="I207" s="46">
        <f t="shared" si="25"/>
        <v>0</v>
      </c>
      <c r="J207" s="49"/>
      <c r="K207" s="35"/>
    </row>
    <row r="208" spans="1:11" s="48" customFormat="1" ht="13.2" x14ac:dyDescent="0.25">
      <c r="A208" s="42"/>
      <c r="B208" s="43"/>
      <c r="C208" s="44" t="s">
        <v>16</v>
      </c>
      <c r="D208" s="43"/>
      <c r="E208" s="45"/>
      <c r="F208" s="45"/>
      <c r="G208" s="46"/>
      <c r="H208" s="46"/>
      <c r="I208" s="46">
        <f t="shared" si="25"/>
        <v>0</v>
      </c>
      <c r="J208" s="49"/>
      <c r="K208" s="35"/>
    </row>
    <row r="209" spans="1:11" s="48" customFormat="1" ht="13.2" x14ac:dyDescent="0.25">
      <c r="A209" s="42"/>
      <c r="B209" s="43"/>
      <c r="C209" s="44" t="s">
        <v>16</v>
      </c>
      <c r="D209" s="43"/>
      <c r="E209" s="45"/>
      <c r="F209" s="45"/>
      <c r="G209" s="46"/>
      <c r="H209" s="46"/>
      <c r="I209" s="46">
        <f t="shared" si="25"/>
        <v>0</v>
      </c>
      <c r="J209" s="49"/>
      <c r="K209" s="35"/>
    </row>
    <row r="210" spans="1:11" s="48" customFormat="1" ht="13.2" x14ac:dyDescent="0.25">
      <c r="A210" s="42"/>
      <c r="B210" s="43"/>
      <c r="C210" s="44" t="s">
        <v>16</v>
      </c>
      <c r="D210" s="43"/>
      <c r="E210" s="45"/>
      <c r="F210" s="45"/>
      <c r="G210" s="46"/>
      <c r="H210" s="46"/>
      <c r="I210" s="46">
        <f t="shared" si="25"/>
        <v>0</v>
      </c>
      <c r="J210" s="49"/>
      <c r="K210" s="35"/>
    </row>
    <row r="211" spans="1:11" s="48" customFormat="1" ht="13.2" x14ac:dyDescent="0.25">
      <c r="A211" s="42"/>
      <c r="B211" s="43"/>
      <c r="C211" s="44" t="s">
        <v>16</v>
      </c>
      <c r="D211" s="43"/>
      <c r="E211" s="45"/>
      <c r="F211" s="45"/>
      <c r="G211" s="46"/>
      <c r="H211" s="46"/>
      <c r="I211" s="46">
        <f t="shared" si="25"/>
        <v>0</v>
      </c>
      <c r="J211" s="49"/>
      <c r="K211" s="35"/>
    </row>
    <row r="212" spans="1:11" s="48" customFormat="1" ht="13.2" x14ac:dyDescent="0.25">
      <c r="A212" s="42"/>
      <c r="B212" s="43"/>
      <c r="C212" s="44" t="s">
        <v>16</v>
      </c>
      <c r="D212" s="43"/>
      <c r="E212" s="45"/>
      <c r="F212" s="45"/>
      <c r="G212" s="46"/>
      <c r="H212" s="46"/>
      <c r="I212" s="46">
        <f t="shared" si="25"/>
        <v>0</v>
      </c>
      <c r="J212" s="49"/>
      <c r="K212" s="35"/>
    </row>
    <row r="213" spans="1:11" s="48" customFormat="1" ht="13.2" x14ac:dyDescent="0.25">
      <c r="A213" s="42"/>
      <c r="B213" s="43"/>
      <c r="C213" s="44" t="s">
        <v>16</v>
      </c>
      <c r="D213" s="43"/>
      <c r="E213" s="45"/>
      <c r="F213" s="45"/>
      <c r="G213" s="46"/>
      <c r="H213" s="46"/>
      <c r="I213" s="46">
        <f t="shared" si="25"/>
        <v>0</v>
      </c>
      <c r="J213" s="49"/>
      <c r="K213" s="35"/>
    </row>
    <row r="214" spans="1:11" s="48" customFormat="1" ht="13.2" x14ac:dyDescent="0.25">
      <c r="A214" s="42"/>
      <c r="B214" s="43"/>
      <c r="C214" s="44" t="s">
        <v>16</v>
      </c>
      <c r="D214" s="43"/>
      <c r="E214" s="45"/>
      <c r="F214" s="45"/>
      <c r="G214" s="46"/>
      <c r="H214" s="46"/>
      <c r="I214" s="46">
        <f t="shared" si="24"/>
        <v>0</v>
      </c>
      <c r="J214" s="49"/>
      <c r="K214" s="35"/>
    </row>
    <row r="215" spans="1:11" s="48" customFormat="1" ht="13.2" x14ac:dyDescent="0.25">
      <c r="A215" s="42"/>
      <c r="B215" s="43"/>
      <c r="C215" s="44" t="s">
        <v>16</v>
      </c>
      <c r="D215" s="43"/>
      <c r="E215" s="45"/>
      <c r="F215" s="45"/>
      <c r="G215" s="46"/>
      <c r="H215" s="46"/>
      <c r="I215" s="46">
        <f t="shared" si="24"/>
        <v>0</v>
      </c>
      <c r="J215" s="49"/>
      <c r="K215" s="35"/>
    </row>
    <row r="216" spans="1:11" ht="13.2" x14ac:dyDescent="0.25">
      <c r="A216" s="37"/>
      <c r="B216" s="38"/>
      <c r="C216" s="38"/>
      <c r="D216" s="38"/>
      <c r="E216" s="38" t="s">
        <v>17</v>
      </c>
      <c r="F216" s="38"/>
      <c r="G216" s="39">
        <f>SUM(G175:G215)</f>
        <v>0</v>
      </c>
      <c r="H216" s="39">
        <f>SUM(H175:H215)</f>
        <v>0</v>
      </c>
      <c r="I216" s="39">
        <f t="shared" si="24"/>
        <v>0</v>
      </c>
      <c r="J216" s="40"/>
      <c r="K216" s="41"/>
    </row>
    <row r="217" spans="1:11" s="81" customFormat="1" ht="18.75" customHeight="1" x14ac:dyDescent="0.25">
      <c r="A217" s="78" t="s">
        <v>23</v>
      </c>
      <c r="B217" s="79"/>
      <c r="C217" s="79"/>
      <c r="D217" s="79"/>
      <c r="E217" s="79"/>
      <c r="F217" s="79"/>
      <c r="G217" s="79"/>
      <c r="H217" s="79"/>
      <c r="I217" s="79"/>
      <c r="J217" s="79"/>
      <c r="K217" s="80"/>
    </row>
    <row r="218" spans="1:11" s="81" customFormat="1" ht="13.2" x14ac:dyDescent="0.25">
      <c r="A218" s="82" t="s">
        <v>12</v>
      </c>
      <c r="B218" s="83" t="s">
        <v>13</v>
      </c>
      <c r="C218" s="79"/>
      <c r="D218" s="79"/>
      <c r="E218" s="79"/>
      <c r="F218" s="79"/>
      <c r="G218" s="79"/>
      <c r="H218" s="79"/>
      <c r="I218" s="79"/>
      <c r="J218" s="79"/>
      <c r="K218" s="80"/>
    </row>
    <row r="219" spans="1:11" s="81" customFormat="1" ht="28.5" customHeight="1" x14ac:dyDescent="0.25">
      <c r="A219" s="84" t="s">
        <v>14</v>
      </c>
      <c r="B219" s="83" t="s">
        <v>15</v>
      </c>
      <c r="C219" s="79"/>
      <c r="D219" s="79"/>
      <c r="E219" s="79"/>
      <c r="F219" s="79"/>
      <c r="G219" s="79"/>
      <c r="H219" s="79"/>
      <c r="I219" s="79"/>
      <c r="J219" s="79"/>
      <c r="K219" s="80"/>
    </row>
    <row r="220" spans="1:11" s="48" customFormat="1" ht="13.2" x14ac:dyDescent="0.25">
      <c r="A220" s="42"/>
      <c r="B220" s="43"/>
      <c r="C220" s="44" t="s">
        <v>16</v>
      </c>
      <c r="D220" s="43"/>
      <c r="E220" s="45"/>
      <c r="F220" s="45"/>
      <c r="G220" s="46"/>
      <c r="H220" s="46"/>
      <c r="I220" s="46">
        <f t="shared" ref="I220:I261" si="26">H220-G220</f>
        <v>0</v>
      </c>
      <c r="J220" s="49"/>
      <c r="K220" s="35"/>
    </row>
    <row r="221" spans="1:11" s="48" customFormat="1" ht="13.2" x14ac:dyDescent="0.25">
      <c r="A221" s="42"/>
      <c r="B221" s="43"/>
      <c r="C221" s="44" t="s">
        <v>16</v>
      </c>
      <c r="D221" s="43"/>
      <c r="E221" s="45"/>
      <c r="F221" s="45"/>
      <c r="G221" s="46"/>
      <c r="H221" s="46"/>
      <c r="I221" s="46">
        <f t="shared" si="26"/>
        <v>0</v>
      </c>
      <c r="J221" s="49"/>
      <c r="K221" s="35"/>
    </row>
    <row r="222" spans="1:11" s="48" customFormat="1" ht="13.2" x14ac:dyDescent="0.25">
      <c r="A222" s="42"/>
      <c r="B222" s="43"/>
      <c r="C222" s="44" t="s">
        <v>16</v>
      </c>
      <c r="D222" s="43"/>
      <c r="E222" s="45"/>
      <c r="F222" s="45"/>
      <c r="G222" s="46"/>
      <c r="H222" s="46"/>
      <c r="I222" s="46">
        <f t="shared" si="26"/>
        <v>0</v>
      </c>
      <c r="J222" s="49"/>
      <c r="K222" s="35"/>
    </row>
    <row r="223" spans="1:11" s="48" customFormat="1" ht="13.2" x14ac:dyDescent="0.25">
      <c r="A223" s="42"/>
      <c r="B223" s="43"/>
      <c r="C223" s="44" t="s">
        <v>16</v>
      </c>
      <c r="D223" s="43"/>
      <c r="E223" s="45"/>
      <c r="F223" s="45"/>
      <c r="G223" s="46"/>
      <c r="H223" s="46"/>
      <c r="I223" s="46">
        <f t="shared" si="26"/>
        <v>0</v>
      </c>
      <c r="J223" s="49"/>
      <c r="K223" s="35"/>
    </row>
    <row r="224" spans="1:11" s="48" customFormat="1" ht="13.2" x14ac:dyDescent="0.25">
      <c r="A224" s="42"/>
      <c r="B224" s="43"/>
      <c r="C224" s="44" t="s">
        <v>16</v>
      </c>
      <c r="D224" s="43"/>
      <c r="E224" s="45"/>
      <c r="F224" s="45"/>
      <c r="G224" s="46"/>
      <c r="H224" s="46"/>
      <c r="I224" s="46">
        <f t="shared" si="26"/>
        <v>0</v>
      </c>
      <c r="J224" s="49"/>
      <c r="K224" s="35"/>
    </row>
    <row r="225" spans="1:11" s="48" customFormat="1" ht="13.2" x14ac:dyDescent="0.25">
      <c r="A225" s="42"/>
      <c r="B225" s="43"/>
      <c r="C225" s="44" t="s">
        <v>16</v>
      </c>
      <c r="D225" s="43"/>
      <c r="E225" s="45"/>
      <c r="F225" s="45"/>
      <c r="G225" s="46"/>
      <c r="H225" s="46"/>
      <c r="I225" s="46">
        <f t="shared" si="26"/>
        <v>0</v>
      </c>
      <c r="J225" s="49"/>
      <c r="K225" s="35"/>
    </row>
    <row r="226" spans="1:11" s="48" customFormat="1" ht="13.2" x14ac:dyDescent="0.25">
      <c r="A226" s="42"/>
      <c r="B226" s="43"/>
      <c r="C226" s="44" t="s">
        <v>16</v>
      </c>
      <c r="D226" s="43"/>
      <c r="E226" s="45"/>
      <c r="F226" s="45"/>
      <c r="G226" s="46"/>
      <c r="H226" s="46"/>
      <c r="I226" s="46">
        <f t="shared" si="26"/>
        <v>0</v>
      </c>
      <c r="J226" s="49"/>
      <c r="K226" s="35"/>
    </row>
    <row r="227" spans="1:11" s="48" customFormat="1" ht="13.2" x14ac:dyDescent="0.25">
      <c r="B227" s="43"/>
      <c r="C227" s="44" t="s">
        <v>16</v>
      </c>
      <c r="D227" s="43"/>
      <c r="E227" s="45"/>
      <c r="F227" s="45"/>
      <c r="G227" s="46"/>
      <c r="H227" s="46"/>
      <c r="I227" s="46">
        <f t="shared" si="26"/>
        <v>0</v>
      </c>
      <c r="J227" s="49"/>
      <c r="K227" s="35"/>
    </row>
    <row r="228" spans="1:11" s="48" customFormat="1" ht="13.2" x14ac:dyDescent="0.25">
      <c r="B228" s="43"/>
      <c r="C228" s="44" t="s">
        <v>16</v>
      </c>
      <c r="D228" s="43"/>
      <c r="E228" s="45"/>
      <c r="F228" s="45"/>
      <c r="G228" s="46"/>
      <c r="H228" s="46"/>
      <c r="I228" s="46">
        <f t="shared" si="26"/>
        <v>0</v>
      </c>
      <c r="J228" s="49"/>
      <c r="K228" s="35"/>
    </row>
    <row r="229" spans="1:11" s="48" customFormat="1" ht="13.2" x14ac:dyDescent="0.25">
      <c r="A229" s="42"/>
      <c r="B229" s="43"/>
      <c r="C229" s="44" t="s">
        <v>16</v>
      </c>
      <c r="D229" s="43"/>
      <c r="E229" s="45"/>
      <c r="F229" s="45"/>
      <c r="G229" s="46"/>
      <c r="H229" s="46"/>
      <c r="I229" s="46">
        <f t="shared" si="26"/>
        <v>0</v>
      </c>
      <c r="J229" s="49"/>
      <c r="K229" s="35"/>
    </row>
    <row r="230" spans="1:11" s="48" customFormat="1" ht="13.2" x14ac:dyDescent="0.25">
      <c r="A230" s="42"/>
      <c r="B230" s="43"/>
      <c r="C230" s="44" t="s">
        <v>16</v>
      </c>
      <c r="D230" s="43"/>
      <c r="E230" s="45"/>
      <c r="F230" s="45"/>
      <c r="G230" s="46"/>
      <c r="H230" s="46"/>
      <c r="I230" s="46">
        <f t="shared" si="26"/>
        <v>0</v>
      </c>
      <c r="J230" s="49"/>
      <c r="K230" s="35"/>
    </row>
    <row r="231" spans="1:11" s="48" customFormat="1" ht="13.2" x14ac:dyDescent="0.25">
      <c r="A231" s="42"/>
      <c r="B231" s="43"/>
      <c r="C231" s="44" t="s">
        <v>16</v>
      </c>
      <c r="D231" s="43"/>
      <c r="E231" s="45"/>
      <c r="F231" s="45"/>
      <c r="G231" s="46"/>
      <c r="H231" s="46"/>
      <c r="I231" s="46">
        <f t="shared" si="26"/>
        <v>0</v>
      </c>
      <c r="J231" s="49"/>
      <c r="K231" s="35"/>
    </row>
    <row r="232" spans="1:11" s="48" customFormat="1" ht="13.2" x14ac:dyDescent="0.25">
      <c r="B232" s="43"/>
      <c r="C232" s="44" t="s">
        <v>16</v>
      </c>
      <c r="D232" s="43"/>
      <c r="E232" s="45"/>
      <c r="F232" s="45"/>
      <c r="G232" s="46"/>
      <c r="H232" s="46"/>
      <c r="I232" s="46">
        <f t="shared" si="26"/>
        <v>0</v>
      </c>
      <c r="J232" s="49"/>
      <c r="K232" s="35"/>
    </row>
    <row r="233" spans="1:11" s="48" customFormat="1" ht="13.2" x14ac:dyDescent="0.25">
      <c r="B233" s="43"/>
      <c r="C233" s="44" t="s">
        <v>16</v>
      </c>
      <c r="D233" s="43"/>
      <c r="E233" s="45"/>
      <c r="F233" s="45"/>
      <c r="G233" s="46"/>
      <c r="H233" s="46"/>
      <c r="I233" s="46">
        <f t="shared" si="26"/>
        <v>0</v>
      </c>
      <c r="J233" s="49"/>
      <c r="K233" s="35"/>
    </row>
    <row r="234" spans="1:11" s="48" customFormat="1" ht="13.2" x14ac:dyDescent="0.25">
      <c r="B234" s="43"/>
      <c r="C234" s="44" t="s">
        <v>16</v>
      </c>
      <c r="D234" s="43"/>
      <c r="E234" s="45"/>
      <c r="F234" s="45"/>
      <c r="G234" s="46"/>
      <c r="H234" s="46"/>
      <c r="I234" s="46">
        <f t="shared" si="26"/>
        <v>0</v>
      </c>
      <c r="J234" s="49"/>
      <c r="K234" s="35"/>
    </row>
    <row r="235" spans="1:11" s="48" customFormat="1" ht="13.2" x14ac:dyDescent="0.25">
      <c r="B235" s="43"/>
      <c r="C235" s="44" t="s">
        <v>16</v>
      </c>
      <c r="D235" s="43"/>
      <c r="E235" s="45"/>
      <c r="F235" s="45"/>
      <c r="G235" s="46"/>
      <c r="H235" s="46"/>
      <c r="I235" s="46">
        <f t="shared" si="26"/>
        <v>0</v>
      </c>
      <c r="J235" s="49"/>
      <c r="K235" s="35"/>
    </row>
    <row r="236" spans="1:11" s="48" customFormat="1" ht="13.2" x14ac:dyDescent="0.25">
      <c r="B236" s="43"/>
      <c r="C236" s="44" t="s">
        <v>16</v>
      </c>
      <c r="D236" s="43"/>
      <c r="E236" s="45"/>
      <c r="F236" s="45"/>
      <c r="G236" s="46"/>
      <c r="H236" s="46"/>
      <c r="I236" s="46">
        <f t="shared" si="26"/>
        <v>0</v>
      </c>
      <c r="J236" s="49"/>
      <c r="K236" s="35"/>
    </row>
    <row r="237" spans="1:11" s="48" customFormat="1" ht="13.2" x14ac:dyDescent="0.25">
      <c r="A237" s="42"/>
      <c r="B237" s="43"/>
      <c r="C237" s="44" t="s">
        <v>16</v>
      </c>
      <c r="D237" s="43"/>
      <c r="E237" s="45"/>
      <c r="F237" s="45"/>
      <c r="G237" s="46"/>
      <c r="H237" s="46"/>
      <c r="I237" s="46">
        <f t="shared" si="26"/>
        <v>0</v>
      </c>
      <c r="J237" s="49"/>
      <c r="K237" s="35"/>
    </row>
    <row r="238" spans="1:11" s="48" customFormat="1" ht="13.2" x14ac:dyDescent="0.25">
      <c r="A238" s="42"/>
      <c r="B238" s="43"/>
      <c r="C238" s="44" t="s">
        <v>16</v>
      </c>
      <c r="D238" s="43"/>
      <c r="E238" s="45"/>
      <c r="F238" s="45"/>
      <c r="G238" s="46"/>
      <c r="H238" s="46"/>
      <c r="I238" s="46">
        <f t="shared" si="26"/>
        <v>0</v>
      </c>
      <c r="J238" s="49"/>
      <c r="K238" s="35"/>
    </row>
    <row r="239" spans="1:11" s="48" customFormat="1" ht="13.2" x14ac:dyDescent="0.25">
      <c r="B239" s="43"/>
      <c r="C239" s="44" t="s">
        <v>16</v>
      </c>
      <c r="D239" s="43"/>
      <c r="E239" s="45"/>
      <c r="F239" s="45"/>
      <c r="G239" s="46"/>
      <c r="H239" s="46"/>
      <c r="I239" s="46">
        <f t="shared" si="26"/>
        <v>0</v>
      </c>
      <c r="J239" s="49"/>
      <c r="K239" s="35"/>
    </row>
    <row r="240" spans="1:11" s="48" customFormat="1" ht="13.2" x14ac:dyDescent="0.25">
      <c r="B240" s="43"/>
      <c r="C240" s="44" t="s">
        <v>16</v>
      </c>
      <c r="D240" s="43"/>
      <c r="E240" s="45"/>
      <c r="F240" s="45"/>
      <c r="G240" s="46"/>
      <c r="H240" s="46"/>
      <c r="I240" s="46">
        <f t="shared" si="26"/>
        <v>0</v>
      </c>
      <c r="J240" s="49"/>
      <c r="K240" s="35"/>
    </row>
    <row r="241" spans="1:11" s="48" customFormat="1" ht="13.2" x14ac:dyDescent="0.25">
      <c r="B241" s="43"/>
      <c r="C241" s="44" t="s">
        <v>16</v>
      </c>
      <c r="D241" s="43"/>
      <c r="E241" s="45"/>
      <c r="F241" s="45"/>
      <c r="G241" s="46"/>
      <c r="H241" s="46"/>
      <c r="I241" s="46">
        <f t="shared" si="26"/>
        <v>0</v>
      </c>
      <c r="J241" s="49"/>
      <c r="K241" s="35"/>
    </row>
    <row r="242" spans="1:11" s="48" customFormat="1" ht="13.2" x14ac:dyDescent="0.25">
      <c r="A242" s="42"/>
      <c r="B242" s="43"/>
      <c r="C242" s="44" t="s">
        <v>16</v>
      </c>
      <c r="D242" s="43"/>
      <c r="E242" s="45"/>
      <c r="F242" s="45"/>
      <c r="G242" s="46"/>
      <c r="H242" s="46"/>
      <c r="I242" s="46">
        <f t="shared" si="26"/>
        <v>0</v>
      </c>
      <c r="J242" s="49"/>
      <c r="K242" s="35"/>
    </row>
    <row r="243" spans="1:11" s="48" customFormat="1" ht="13.2" x14ac:dyDescent="0.25">
      <c r="A243" s="42"/>
      <c r="B243" s="43"/>
      <c r="C243" s="44" t="s">
        <v>16</v>
      </c>
      <c r="D243" s="43"/>
      <c r="E243" s="45"/>
      <c r="F243" s="45"/>
      <c r="G243" s="46"/>
      <c r="H243" s="46"/>
      <c r="I243" s="46">
        <f t="shared" si="26"/>
        <v>0</v>
      </c>
      <c r="J243" s="49"/>
      <c r="K243" s="35"/>
    </row>
    <row r="244" spans="1:11" s="48" customFormat="1" ht="13.2" x14ac:dyDescent="0.25">
      <c r="A244" s="42"/>
      <c r="B244" s="43"/>
      <c r="C244" s="44" t="s">
        <v>16</v>
      </c>
      <c r="D244" s="43"/>
      <c r="E244" s="45"/>
      <c r="F244" s="45"/>
      <c r="G244" s="46"/>
      <c r="H244" s="46"/>
      <c r="I244" s="46">
        <f t="shared" si="26"/>
        <v>0</v>
      </c>
      <c r="J244" s="49"/>
      <c r="K244" s="35"/>
    </row>
    <row r="245" spans="1:11" s="48" customFormat="1" ht="13.2" x14ac:dyDescent="0.25">
      <c r="A245" s="42"/>
      <c r="B245" s="43"/>
      <c r="C245" s="44" t="s">
        <v>16</v>
      </c>
      <c r="D245" s="43"/>
      <c r="E245" s="45"/>
      <c r="F245" s="45"/>
      <c r="G245" s="46"/>
      <c r="H245" s="46"/>
      <c r="I245" s="46">
        <f t="shared" si="26"/>
        <v>0</v>
      </c>
      <c r="J245" s="49"/>
      <c r="K245" s="35"/>
    </row>
    <row r="246" spans="1:11" s="48" customFormat="1" ht="13.2" x14ac:dyDescent="0.25">
      <c r="A246" s="42"/>
      <c r="B246" s="43"/>
      <c r="C246" s="44" t="s">
        <v>16</v>
      </c>
      <c r="D246" s="43"/>
      <c r="E246" s="45"/>
      <c r="F246" s="45"/>
      <c r="G246" s="46"/>
      <c r="H246" s="46"/>
      <c r="I246" s="46">
        <f t="shared" si="26"/>
        <v>0</v>
      </c>
      <c r="J246" s="49"/>
      <c r="K246" s="35"/>
    </row>
    <row r="247" spans="1:11" s="48" customFormat="1" ht="13.2" x14ac:dyDescent="0.25">
      <c r="A247" s="42"/>
      <c r="B247" s="43"/>
      <c r="C247" s="44" t="s">
        <v>16</v>
      </c>
      <c r="D247" s="43"/>
      <c r="E247" s="45"/>
      <c r="F247" s="45"/>
      <c r="G247" s="46"/>
      <c r="H247" s="46"/>
      <c r="I247" s="46">
        <f t="shared" si="26"/>
        <v>0</v>
      </c>
      <c r="J247" s="49"/>
      <c r="K247" s="35"/>
    </row>
    <row r="248" spans="1:11" s="48" customFormat="1" ht="13.2" x14ac:dyDescent="0.25">
      <c r="A248" s="42"/>
      <c r="B248" s="43"/>
      <c r="C248" s="44" t="s">
        <v>16</v>
      </c>
      <c r="D248" s="43"/>
      <c r="E248" s="45"/>
      <c r="F248" s="45"/>
      <c r="G248" s="46"/>
      <c r="H248" s="46"/>
      <c r="I248" s="46">
        <f t="shared" si="26"/>
        <v>0</v>
      </c>
      <c r="J248" s="49"/>
      <c r="K248" s="35"/>
    </row>
    <row r="249" spans="1:11" s="48" customFormat="1" ht="13.2" x14ac:dyDescent="0.25">
      <c r="A249" s="42"/>
      <c r="B249" s="43"/>
      <c r="C249" s="44" t="s">
        <v>16</v>
      </c>
      <c r="D249" s="43"/>
      <c r="E249" s="45"/>
      <c r="F249" s="45"/>
      <c r="G249" s="46"/>
      <c r="H249" s="46"/>
      <c r="I249" s="46">
        <f t="shared" si="26"/>
        <v>0</v>
      </c>
      <c r="J249" s="49"/>
      <c r="K249" s="35"/>
    </row>
    <row r="250" spans="1:11" s="48" customFormat="1" ht="13.2" x14ac:dyDescent="0.25">
      <c r="A250" s="42"/>
      <c r="B250" s="43"/>
      <c r="C250" s="44" t="s">
        <v>16</v>
      </c>
      <c r="D250" s="43"/>
      <c r="E250" s="45"/>
      <c r="F250" s="45"/>
      <c r="G250" s="46"/>
      <c r="H250" s="46"/>
      <c r="I250" s="46">
        <f t="shared" si="26"/>
        <v>0</v>
      </c>
      <c r="J250" s="49"/>
      <c r="K250" s="35"/>
    </row>
    <row r="251" spans="1:11" s="48" customFormat="1" ht="13.2" x14ac:dyDescent="0.25">
      <c r="A251" s="42"/>
      <c r="B251" s="43"/>
      <c r="C251" s="44" t="s">
        <v>16</v>
      </c>
      <c r="D251" s="43"/>
      <c r="E251" s="45"/>
      <c r="F251" s="45"/>
      <c r="G251" s="46"/>
      <c r="H251" s="46"/>
      <c r="I251" s="46">
        <f t="shared" si="26"/>
        <v>0</v>
      </c>
      <c r="J251" s="49"/>
      <c r="K251" s="35"/>
    </row>
    <row r="252" spans="1:11" s="48" customFormat="1" ht="13.2" x14ac:dyDescent="0.25">
      <c r="A252" s="42"/>
      <c r="B252" s="43"/>
      <c r="C252" s="44" t="s">
        <v>16</v>
      </c>
      <c r="D252" s="43"/>
      <c r="E252" s="45"/>
      <c r="F252" s="45"/>
      <c r="G252" s="46"/>
      <c r="H252" s="46"/>
      <c r="I252" s="46">
        <f t="shared" si="26"/>
        <v>0</v>
      </c>
      <c r="J252" s="49"/>
      <c r="K252" s="35"/>
    </row>
    <row r="253" spans="1:11" s="48" customFormat="1" ht="13.2" x14ac:dyDescent="0.25">
      <c r="A253" s="42"/>
      <c r="B253" s="43"/>
      <c r="C253" s="44" t="s">
        <v>16</v>
      </c>
      <c r="D253" s="43"/>
      <c r="E253" s="45"/>
      <c r="F253" s="45"/>
      <c r="G253" s="46"/>
      <c r="H253" s="46"/>
      <c r="I253" s="46">
        <f t="shared" si="26"/>
        <v>0</v>
      </c>
      <c r="J253" s="49"/>
      <c r="K253" s="35"/>
    </row>
    <row r="254" spans="1:11" s="48" customFormat="1" ht="13.2" x14ac:dyDescent="0.25">
      <c r="A254" s="42"/>
      <c r="B254" s="43"/>
      <c r="C254" s="44" t="s">
        <v>16</v>
      </c>
      <c r="D254" s="43"/>
      <c r="E254" s="45"/>
      <c r="F254" s="45"/>
      <c r="G254" s="46"/>
      <c r="H254" s="46"/>
      <c r="I254" s="46">
        <f t="shared" si="26"/>
        <v>0</v>
      </c>
      <c r="J254" s="49"/>
      <c r="K254" s="35"/>
    </row>
    <row r="255" spans="1:11" s="48" customFormat="1" ht="13.2" x14ac:dyDescent="0.25">
      <c r="A255" s="42"/>
      <c r="B255" s="43"/>
      <c r="C255" s="44" t="s">
        <v>16</v>
      </c>
      <c r="D255" s="43"/>
      <c r="E255" s="45"/>
      <c r="F255" s="45"/>
      <c r="G255" s="46"/>
      <c r="H255" s="46"/>
      <c r="I255" s="46">
        <f t="shared" si="26"/>
        <v>0</v>
      </c>
      <c r="J255" s="49"/>
      <c r="K255" s="35"/>
    </row>
    <row r="256" spans="1:11" s="48" customFormat="1" ht="13.2" x14ac:dyDescent="0.25">
      <c r="A256" s="42"/>
      <c r="B256" s="43"/>
      <c r="C256" s="44" t="s">
        <v>16</v>
      </c>
      <c r="D256" s="43"/>
      <c r="E256" s="45"/>
      <c r="F256" s="45"/>
      <c r="G256" s="46"/>
      <c r="H256" s="46"/>
      <c r="I256" s="46">
        <f t="shared" si="26"/>
        <v>0</v>
      </c>
      <c r="J256" s="49"/>
      <c r="K256" s="35"/>
    </row>
    <row r="257" spans="1:11" s="48" customFormat="1" ht="13.2" x14ac:dyDescent="0.25">
      <c r="A257" s="42"/>
      <c r="B257" s="43"/>
      <c r="C257" s="44" t="s">
        <v>16</v>
      </c>
      <c r="D257" s="43"/>
      <c r="E257" s="45"/>
      <c r="F257" s="45"/>
      <c r="G257" s="46"/>
      <c r="H257" s="46"/>
      <c r="I257" s="46">
        <f t="shared" si="26"/>
        <v>0</v>
      </c>
      <c r="J257" s="49"/>
      <c r="K257" s="35"/>
    </row>
    <row r="258" spans="1:11" s="48" customFormat="1" ht="13.2" x14ac:dyDescent="0.25">
      <c r="A258" s="42"/>
      <c r="B258" s="43"/>
      <c r="C258" s="44" t="s">
        <v>16</v>
      </c>
      <c r="D258" s="43"/>
      <c r="E258" s="45"/>
      <c r="F258" s="45"/>
      <c r="G258" s="46"/>
      <c r="H258" s="46"/>
      <c r="I258" s="46">
        <f t="shared" si="26"/>
        <v>0</v>
      </c>
      <c r="J258" s="49"/>
      <c r="K258" s="35"/>
    </row>
    <row r="259" spans="1:11" s="48" customFormat="1" ht="13.2" x14ac:dyDescent="0.25">
      <c r="A259" s="42"/>
      <c r="B259" s="43"/>
      <c r="C259" s="44" t="s">
        <v>16</v>
      </c>
      <c r="D259" s="43"/>
      <c r="E259" s="45"/>
      <c r="F259" s="45"/>
      <c r="G259" s="46"/>
      <c r="H259" s="46"/>
      <c r="I259" s="46">
        <f t="shared" si="26"/>
        <v>0</v>
      </c>
      <c r="J259" s="49"/>
      <c r="K259" s="35"/>
    </row>
    <row r="260" spans="1:11" s="48" customFormat="1" ht="13.2" x14ac:dyDescent="0.25">
      <c r="A260" s="42"/>
      <c r="B260" s="43"/>
      <c r="C260" s="44" t="s">
        <v>16</v>
      </c>
      <c r="D260" s="43"/>
      <c r="E260" s="45"/>
      <c r="F260" s="45"/>
      <c r="G260" s="46"/>
      <c r="H260" s="46"/>
      <c r="I260" s="46">
        <f t="shared" si="26"/>
        <v>0</v>
      </c>
      <c r="J260" s="49"/>
      <c r="K260" s="35"/>
    </row>
    <row r="261" spans="1:11" ht="13.2" x14ac:dyDescent="0.25">
      <c r="A261" s="37"/>
      <c r="B261" s="38"/>
      <c r="C261" s="38"/>
      <c r="D261" s="38"/>
      <c r="E261" s="38" t="s">
        <v>17</v>
      </c>
      <c r="F261" s="38"/>
      <c r="G261" s="39">
        <f t="shared" ref="G261:H261" si="27">SUM(G220:G260)</f>
        <v>0</v>
      </c>
      <c r="H261" s="39">
        <f t="shared" si="27"/>
        <v>0</v>
      </c>
      <c r="I261" s="39">
        <f t="shared" si="26"/>
        <v>0</v>
      </c>
      <c r="J261" s="40"/>
      <c r="K261" s="41"/>
    </row>
  </sheetData>
  <autoFilter ref="A1:K22" xr:uid="{00000000-0009-0000-0000-000000000000}"/>
  <customSheetViews>
    <customSheetView guid="{8BAC9A6B-5D32-4E8D-967D-E17D357516F8}" filter="1" showAutoFilter="1">
      <pageMargins left="0" right="0" top="0" bottom="0" header="0" footer="0"/>
      <autoFilter ref="A1:K15" xr:uid="{596D22A6-8DFD-4731-B7A9-8CFC2CC5ECFA}">
        <filterColumn colId="1">
          <filters blank="1">
            <filter val="- Weekplan item 1_x000a_- Weekplan item 2_x000a_- Weekplan item 3_x000a_- etc"/>
            <filter val="[Enter known possible issues that are a risk for you to finish the high level week planning]"/>
          </filters>
        </filterColumn>
      </autoFilter>
    </customSheetView>
  </customSheetViews>
  <mergeCells count="24">
    <mergeCell ref="A217:K217"/>
    <mergeCell ref="B218:K218"/>
    <mergeCell ref="B219:K219"/>
    <mergeCell ref="A131:K131"/>
    <mergeCell ref="A67:K67"/>
    <mergeCell ref="B68:K68"/>
    <mergeCell ref="B69:K69"/>
    <mergeCell ref="A89:K89"/>
    <mergeCell ref="A172:K172"/>
    <mergeCell ref="B173:K173"/>
    <mergeCell ref="B174:K174"/>
    <mergeCell ref="A2:K2"/>
    <mergeCell ref="B3:K3"/>
    <mergeCell ref="B4:K4"/>
    <mergeCell ref="A23:K23"/>
    <mergeCell ref="B24:K24"/>
    <mergeCell ref="B25:K25"/>
    <mergeCell ref="A42:K42"/>
    <mergeCell ref="B43:K43"/>
    <mergeCell ref="B44:K44"/>
    <mergeCell ref="B132:K132"/>
    <mergeCell ref="B133:K133"/>
    <mergeCell ref="B90:K90"/>
    <mergeCell ref="B91:K91"/>
  </mergeCells>
  <phoneticPr fontId="16" type="noConversion"/>
  <conditionalFormatting sqref="B5:B21 B24:B40 B45:B65 B92:B129 B134:B170 B70:B87">
    <cfRule type="containsText" dxfId="43" priority="35" operator="containsText" text="Unplanned">
      <formula>NOT(ISERROR(SEARCH(("Unplanned"),(B5))))</formula>
    </cfRule>
    <cfRule type="containsText" dxfId="42" priority="36" operator="containsText" text="Planned">
      <formula>NOT(ISERROR(SEARCH(("Planned"),(B5))))</formula>
    </cfRule>
    <cfRule type="containsText" dxfId="41" priority="37" operator="containsText" text="In-Progress">
      <formula>NOT(ISERROR(SEARCH(("In-Progress"),(B5))))</formula>
    </cfRule>
    <cfRule type="containsText" dxfId="40" priority="38" operator="containsText" text="Blocked">
      <formula>NOT(ISERROR(SEARCH(("Blocked"),(B5))))</formula>
    </cfRule>
    <cfRule type="containsText" dxfId="39" priority="39" operator="containsText" text="Done">
      <formula>NOT(ISERROR(SEARCH(("Done"),(B5))))</formula>
    </cfRule>
  </conditionalFormatting>
  <conditionalFormatting sqref="B5:B22 B24:B41 B43:B66 B90:B130 B132:B171 B173:B216 B68:B88">
    <cfRule type="containsText" dxfId="38" priority="40" operator="containsText" text="Unplanned">
      <formula>NOT(ISERROR(SEARCH(("Unplanned"),(B5))))</formula>
    </cfRule>
    <cfRule type="containsText" dxfId="37" priority="41" operator="containsText" text="Cancelled">
      <formula>NOT(ISERROR(SEARCH(("Cancelled"),(B5))))</formula>
    </cfRule>
  </conditionalFormatting>
  <conditionalFormatting sqref="B175:B178 B202:B215">
    <cfRule type="containsText" dxfId="36" priority="30" operator="containsText" text="Unplanned">
      <formula>NOT(ISERROR(SEARCH(("Unplanned"),(B175))))</formula>
    </cfRule>
    <cfRule type="containsText" dxfId="35" priority="31" operator="containsText" text="Planned">
      <formula>NOT(ISERROR(SEARCH(("Planned"),(B175))))</formula>
    </cfRule>
    <cfRule type="containsText" dxfId="34" priority="32" operator="containsText" text="In-Progress">
      <formula>NOT(ISERROR(SEARCH(("In-Progress"),(B175))))</formula>
    </cfRule>
    <cfRule type="containsText" dxfId="33" priority="33" operator="containsText" text="Blocked">
      <formula>NOT(ISERROR(SEARCH(("Blocked"),(B175))))</formula>
    </cfRule>
    <cfRule type="containsText" dxfId="32" priority="34" operator="containsText" text="Done">
      <formula>NOT(ISERROR(SEARCH(("Done"),(B175))))</formula>
    </cfRule>
  </conditionalFormatting>
  <conditionalFormatting sqref="G1 G3:G22 G26:G41 G45:G66 G92:G130 G134:G171 G175:G216 G70:G88">
    <cfRule type="cellIs" dxfId="31" priority="44" operator="greaterThan">
      <formula>4</formula>
    </cfRule>
  </conditionalFormatting>
  <conditionalFormatting sqref="H1:H4 H7:H32 H36:H44 H46:H261">
    <cfRule type="containsBlanks" dxfId="30" priority="45">
      <formula>LEN(TRIM(H1))=0</formula>
    </cfRule>
  </conditionalFormatting>
  <conditionalFormatting sqref="H5:H6">
    <cfRule type="cellIs" dxfId="29" priority="28" operator="greaterThan">
      <formula>4</formula>
    </cfRule>
  </conditionalFormatting>
  <conditionalFormatting sqref="H33:H35">
    <cfRule type="cellIs" dxfId="28" priority="27" operator="greaterThan">
      <formula>4</formula>
    </cfRule>
  </conditionalFormatting>
  <conditionalFormatting sqref="H45">
    <cfRule type="cellIs" dxfId="27" priority="26" operator="greaterThan">
      <formula>4</formula>
    </cfRule>
  </conditionalFormatting>
  <conditionalFormatting sqref="I5:I22 I26:I41 I45:I66 I92:I130 I134:I171 I175:I216 I70:I88">
    <cfRule type="expression" dxfId="26" priority="42">
      <formula>H5/G5&gt;=1.5</formula>
    </cfRule>
    <cfRule type="expression" dxfId="25" priority="43">
      <formula>H5/G5&lt;=0.5</formula>
    </cfRule>
  </conditionalFormatting>
  <conditionalFormatting sqref="B218:B221 B245:B261">
    <cfRule type="containsText" dxfId="24" priority="21" operator="containsText" text="Unplanned">
      <formula>NOT(ISERROR(SEARCH(("Unplanned"),(B218))))</formula>
    </cfRule>
    <cfRule type="containsText" dxfId="23" priority="22" operator="containsText" text="Cancelled">
      <formula>NOT(ISERROR(SEARCH(("Cancelled"),(B218))))</formula>
    </cfRule>
  </conditionalFormatting>
  <conditionalFormatting sqref="B220:B221 B245:B260">
    <cfRule type="containsText" dxfId="22" priority="16" operator="containsText" text="Unplanned">
      <formula>NOT(ISERROR(SEARCH(("Unplanned"),(B220))))</formula>
    </cfRule>
    <cfRule type="containsText" dxfId="21" priority="17" operator="containsText" text="Planned">
      <formula>NOT(ISERROR(SEARCH(("Planned"),(B220))))</formula>
    </cfRule>
    <cfRule type="containsText" dxfId="20" priority="18" operator="containsText" text="In-Progress">
      <formula>NOT(ISERROR(SEARCH(("In-Progress"),(B220))))</formula>
    </cfRule>
    <cfRule type="containsText" dxfId="19" priority="19" operator="containsText" text="Blocked">
      <formula>NOT(ISERROR(SEARCH(("Blocked"),(B220))))</formula>
    </cfRule>
    <cfRule type="containsText" dxfId="18" priority="20" operator="containsText" text="Done">
      <formula>NOT(ISERROR(SEARCH(("Done"),(B220))))</formula>
    </cfRule>
  </conditionalFormatting>
  <conditionalFormatting sqref="G220:G221 G245:G261">
    <cfRule type="cellIs" dxfId="17" priority="25" operator="greaterThan">
      <formula>4</formula>
    </cfRule>
  </conditionalFormatting>
  <conditionalFormatting sqref="I220:I221 I245:I261">
    <cfRule type="expression" dxfId="16" priority="23">
      <formula>H220/G220&gt;=1.5</formula>
    </cfRule>
    <cfRule type="expression" dxfId="15" priority="24">
      <formula>H220/G220&lt;=0.5</formula>
    </cfRule>
  </conditionalFormatting>
  <conditionalFormatting sqref="B179:B201">
    <cfRule type="containsText" dxfId="14" priority="11" operator="containsText" text="Unplanned">
      <formula>NOT(ISERROR(SEARCH(("Unplanned"),(B179))))</formula>
    </cfRule>
    <cfRule type="containsText" dxfId="13" priority="12" operator="containsText" text="Planned">
      <formula>NOT(ISERROR(SEARCH(("Planned"),(B179))))</formula>
    </cfRule>
    <cfRule type="containsText" dxfId="12" priority="13" operator="containsText" text="In-Progress">
      <formula>NOT(ISERROR(SEARCH(("In-Progress"),(B179))))</formula>
    </cfRule>
    <cfRule type="containsText" dxfId="11" priority="14" operator="containsText" text="Blocked">
      <formula>NOT(ISERROR(SEARCH(("Blocked"),(B179))))</formula>
    </cfRule>
    <cfRule type="containsText" dxfId="10" priority="15" operator="containsText" text="Done">
      <formula>NOT(ISERROR(SEARCH(("Done"),(B179))))</formula>
    </cfRule>
  </conditionalFormatting>
  <conditionalFormatting sqref="B222:B244">
    <cfRule type="containsText" dxfId="9" priority="6" operator="containsText" text="Unplanned">
      <formula>NOT(ISERROR(SEARCH(("Unplanned"),(B222))))</formula>
    </cfRule>
    <cfRule type="containsText" dxfId="8" priority="7" operator="containsText" text="Cancelled">
      <formula>NOT(ISERROR(SEARCH(("Cancelled"),(B222))))</formula>
    </cfRule>
  </conditionalFormatting>
  <conditionalFormatting sqref="G222:G244">
    <cfRule type="cellIs" dxfId="7" priority="10" operator="greaterThan">
      <formula>4</formula>
    </cfRule>
  </conditionalFormatting>
  <conditionalFormatting sqref="I222:I244">
    <cfRule type="expression" dxfId="6" priority="8">
      <formula>H222/G222&gt;=1.5</formula>
    </cfRule>
    <cfRule type="expression" dxfId="5" priority="9">
      <formula>H222/G222&lt;=0.5</formula>
    </cfRule>
  </conditionalFormatting>
  <conditionalFormatting sqref="B222:B244">
    <cfRule type="containsText" dxfId="4" priority="1" operator="containsText" text="Unplanned">
      <formula>NOT(ISERROR(SEARCH(("Unplanned"),(B222))))</formula>
    </cfRule>
    <cfRule type="containsText" dxfId="3" priority="2" operator="containsText" text="Planned">
      <formula>NOT(ISERROR(SEARCH(("Planned"),(B222))))</formula>
    </cfRule>
    <cfRule type="containsText" dxfId="2" priority="3" operator="containsText" text="In-Progress">
      <formula>NOT(ISERROR(SEARCH(("In-Progress"),(B222))))</formula>
    </cfRule>
    <cfRule type="containsText" dxfId="1" priority="4" operator="containsText" text="Blocked">
      <formula>NOT(ISERROR(SEARCH(("Blocked"),(B222))))</formula>
    </cfRule>
    <cfRule type="containsText" dxfId="0" priority="5" operator="containsText" text="Done">
      <formula>NOT(ISERROR(SEARCH(("Done"),(B222))))</formula>
    </cfRule>
  </conditionalFormatting>
  <dataValidations disablePrompts="1" count="1">
    <dataValidation type="list" allowBlank="1" sqref="F92:F129 F134:F170 F5:F21 F45:F65 F220:F260 F26:F40 F175:F215 F70:F87" xr:uid="{0FAB3063-668E-4727-8636-10D0A6594410}">
      <formula1>"ILO 1.6, ILO 2.6, ILO 5.1, ILO 6.4, ILO 8.5, ILO 8.6"</formula1>
    </dataValidation>
  </dataValidations>
  <hyperlinks>
    <hyperlink ref="J10" r:id="rId1" xr:uid="{338167E6-7B0F-4DEB-BE9A-83BBFDE4AA41}"/>
    <hyperlink ref="J9" r:id="rId2" xr:uid="{0D930CB9-7189-4EC5-83D8-1C1C65571550}"/>
    <hyperlink ref="J17" r:id="rId3" xr:uid="{4DC2825B-87CF-459D-B3D8-25ECA4518806}"/>
    <hyperlink ref="J15" r:id="rId4" xr:uid="{ACEDFC9A-0FF0-4EB7-B8A2-A808AF51EC76}"/>
    <hyperlink ref="J19" r:id="rId5" xr:uid="{15F60698-F236-48CF-9817-60E03A44251E}"/>
    <hyperlink ref="J20" r:id="rId6" xr:uid="{CD0FD26D-BE25-4EED-8F52-70668670D423}"/>
    <hyperlink ref="J35" r:id="rId7" xr:uid="{336236C0-5774-457E-8C6B-B15D8D1E5C6F}"/>
    <hyperlink ref="J28" r:id="rId8" xr:uid="{AA05656E-B459-4B01-971B-EC7FC7984922}"/>
    <hyperlink ref="J32" r:id="rId9" xr:uid="{B430FD59-6FDC-4875-93EF-48D33E82DA61}"/>
    <hyperlink ref="J26" r:id="rId10" xr:uid="{8AB49E5F-4AC4-4FEC-94CA-96A569865976}"/>
    <hyperlink ref="J37" r:id="rId11" display="Task_3.iptnb" xr:uid="{F2DA1509-0B1D-42DB-9497-97B06E3E568F}"/>
    <hyperlink ref="J38" r:id="rId12" display="Task_3.iptnb" xr:uid="{915BB071-3566-4CBF-ACCE-7E4B3E38559B}"/>
    <hyperlink ref="J39" r:id="rId13" display="Task_3.iptnb" xr:uid="{A490CE55-F5CD-4318-AF46-C6E87D777D36}"/>
    <hyperlink ref="J46" r:id="rId14" xr:uid="{AF76E1FC-1905-44B7-B3EE-FDF67809CD8E}"/>
    <hyperlink ref="J40" r:id="rId15" xr:uid="{056D9ED6-A5A6-4485-B46B-BF76AA10B790}"/>
    <hyperlink ref="J47" r:id="rId16" xr:uid="{AEC2E4B9-7482-4D25-B53F-DD537CDB58C7}"/>
    <hyperlink ref="J52" r:id="rId17" xr:uid="{9ED4FF94-64AA-4149-8440-4EF759F271A2}"/>
    <hyperlink ref="J29" r:id="rId18" xr:uid="{46BF8FD4-D9E6-4CD2-AF70-00CAA4CEC688}"/>
    <hyperlink ref="J31" r:id="rId19" xr:uid="{5F697AE4-29B6-4A1E-A5DB-8385293C28F6}"/>
    <hyperlink ref="J48" r:id="rId20" xr:uid="{559E7354-8DE8-43C3-A6F7-BE9573E97185}"/>
    <hyperlink ref="J54" r:id="rId21" xr:uid="{B3D57704-1AB0-42D8-9E1C-359D13F851F5}"/>
    <hyperlink ref="J55" r:id="rId22" xr:uid="{A8ED38AB-6FDD-4AAD-8AE9-AC766644CCE1}"/>
    <hyperlink ref="J56" r:id="rId23" xr:uid="{EC2B53DD-F328-4568-B4E5-C580AE5D009A}"/>
    <hyperlink ref="J53" r:id="rId24" xr:uid="{94BFDE91-284C-4F8E-930F-C0FC78C55C94}"/>
    <hyperlink ref="J49" r:id="rId25" xr:uid="{66680BDA-C870-494B-B2F5-4DA549E4D369}"/>
    <hyperlink ref="J34" r:id="rId26" xr:uid="{9D1A3009-1C02-4C43-9CE5-6D2F48979553}"/>
    <hyperlink ref="J58" r:id="rId27" xr:uid="{18C5F7D9-5ECD-4D97-9662-8B9D7E8AC324}"/>
  </hyperlinks>
  <pageMargins left="0.7" right="0.7" top="0.75" bottom="0.75" header="0.3" footer="0.3"/>
  <pageSetup paperSize="9" scale="52" fitToHeight="0" orientation="landscape" horizontalDpi="1200" verticalDpi="1200" r:id="rId28"/>
  <extLst>
    <ext xmlns:x14="http://schemas.microsoft.com/office/spreadsheetml/2009/9/main" uri="{CCE6A557-97BC-4b89-ADB6-D9C93CAAB3DF}">
      <x14:dataValidations xmlns:xm="http://schemas.microsoft.com/office/excel/2006/main" disablePrompts="1" count="2">
        <x14:dataValidation type="list" allowBlank="1" xr:uid="{00000000-0002-0000-0000-000001000000}">
          <x14:formula1>
            <xm:f>'Drop-downs'!$B$2:$B$16</xm:f>
          </x14:formula1>
          <xm:sqref>E92:E129 E134:E170 E5:E21 E45:E65 E220:E260 E26:E40 E175:E215 E70:E87</xm:sqref>
        </x14:dataValidation>
        <x14:dataValidation type="list" allowBlank="1" xr:uid="{00000000-0002-0000-0000-000002000000}">
          <x14:formula1>
            <xm:f>'Drop-downs'!$A$2:$A$9</xm:f>
          </x14:formula1>
          <xm:sqref>B92:B129 B134:B170 B5:B21 B45:B65 B26:B40 B175:B215 B220:B260 B70:B87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B2:K23"/>
  <sheetViews>
    <sheetView workbookViewId="0">
      <selection activeCell="D5" sqref="D5"/>
    </sheetView>
  </sheetViews>
  <sheetFormatPr defaultColWidth="14.44140625" defaultRowHeight="15" customHeight="1" x14ac:dyDescent="0.25"/>
  <cols>
    <col min="2" max="2" width="27" customWidth="1"/>
    <col min="11" max="11" width="20.44140625" customWidth="1"/>
  </cols>
  <sheetData>
    <row r="2" spans="2:11" ht="13.8" x14ac:dyDescent="0.3">
      <c r="B2" s="11" t="s">
        <v>24</v>
      </c>
      <c r="C2" s="2" t="s">
        <v>25</v>
      </c>
      <c r="D2" s="2" t="s">
        <v>26</v>
      </c>
      <c r="E2" s="2" t="s">
        <v>27</v>
      </c>
      <c r="F2" s="2" t="s">
        <v>28</v>
      </c>
      <c r="G2" s="2" t="s">
        <v>29</v>
      </c>
      <c r="H2" s="2" t="s">
        <v>30</v>
      </c>
      <c r="I2" s="2" t="s">
        <v>31</v>
      </c>
      <c r="J2" s="2" t="s">
        <v>32</v>
      </c>
      <c r="K2" s="3" t="s">
        <v>33</v>
      </c>
    </row>
    <row r="3" spans="2:11" ht="13.8" x14ac:dyDescent="0.3">
      <c r="B3" s="4" t="str">
        <f>'Drop-downs'!C2</f>
        <v>-</v>
      </c>
      <c r="C3" s="6"/>
      <c r="D3" s="6"/>
      <c r="E3" s="6"/>
      <c r="F3" s="6"/>
      <c r="G3" s="6"/>
      <c r="H3" s="6"/>
      <c r="I3" s="6"/>
      <c r="J3" s="6"/>
      <c r="K3" s="7">
        <f t="shared" ref="K3:K9" si="0">SUM(C3:J3)</f>
        <v>0</v>
      </c>
    </row>
    <row r="4" spans="2:11" ht="13.8" x14ac:dyDescent="0.3">
      <c r="B4" s="4" t="str">
        <f>'Drop-downs'!C3</f>
        <v>ILO 0.3</v>
      </c>
      <c r="C4" s="10" cm="1">
        <f t="array" ref="C4">IFERROR(SUM(_xlfn._xlws.FILTER('Worklog_Tasks&amp;Times'!$H$5:$H$21,'Worklog_Tasks&amp;Times'!$F$5:$F$21=$B4)),0)</f>
        <v>0</v>
      </c>
      <c r="D4" s="10" cm="1">
        <f t="array" ref="D4">IFERROR(SUM(_xlfn._xlws.FILTER('Worklog_Tasks&amp;Times'!$H$26:$H$39,'Worklog_Tasks&amp;Times'!$F$5:$F$21=$B4)),0)</f>
        <v>0</v>
      </c>
      <c r="E4" s="10" cm="1">
        <f t="array" ref="E4">IFERROR(SUM(_xlfn._xlws.FILTER('Worklog_Tasks&amp;Times'!$H$5:$H$21,'Worklog_Tasks&amp;Times'!$F$5:$F$21=$B4)),0)</f>
        <v>0</v>
      </c>
      <c r="F4" s="10" cm="1">
        <f t="array" ref="F4">IFERROR(SUM(_xlfn._xlws.FILTER('Worklog_Tasks&amp;Times'!$H$5:$H$21,'Worklog_Tasks&amp;Times'!$F$5:$F$21=$B4)),0)</f>
        <v>0</v>
      </c>
      <c r="G4" s="10" cm="1">
        <f t="array" ref="G4">IFERROR(SUM(_xlfn._xlws.FILTER('Worklog_Tasks&amp;Times'!$H$5:$H$21,'Worklog_Tasks&amp;Times'!$F$5:$F$21=$B4)),0)</f>
        <v>0</v>
      </c>
      <c r="H4" s="10" cm="1">
        <f t="array" ref="H4">IFERROR(SUM(_xlfn._xlws.FILTER('Worklog_Tasks&amp;Times'!$H$5:$H$21,'Worklog_Tasks&amp;Times'!$F$5:$F$21=$B4)),0)</f>
        <v>0</v>
      </c>
      <c r="I4" s="10" cm="1">
        <f t="array" ref="I4">IFERROR(SUM(_xlfn._xlws.FILTER('Worklog_Tasks&amp;Times'!$H$5:$H$21,'Worklog_Tasks&amp;Times'!$F$5:$F$21=$B4)),0)</f>
        <v>0</v>
      </c>
      <c r="J4" s="10" cm="1">
        <f t="array" ref="J4">IFERROR(SUM(_xlfn._xlws.FILTER('Worklog_Tasks&amp;Times'!$H$5:$H$21,'Worklog_Tasks&amp;Times'!$F$5:$F$21=$B4)),0)</f>
        <v>0</v>
      </c>
      <c r="K4" s="7">
        <f t="shared" si="0"/>
        <v>0</v>
      </c>
    </row>
    <row r="5" spans="2:11" ht="13.8" x14ac:dyDescent="0.3">
      <c r="B5" s="4" t="str">
        <f>'Drop-downs'!C4</f>
        <v>ILO 1.5</v>
      </c>
      <c r="C5" s="10" cm="1">
        <f t="array" ref="C5">IFERROR(SUM(_xlfn._xlws.FILTER('Worklog_Tasks&amp;Times'!$H$5:$H$21,'Worklog_Tasks&amp;Times'!$F$5:$F$21=$B5)),0)</f>
        <v>0</v>
      </c>
      <c r="D5" s="10" cm="1">
        <f t="array" ref="D5">IFERROR(SUM(_xlfn._xlws.FILTER('Worklog_Tasks&amp;Times'!$H$5:$H$21,'Worklog_Tasks&amp;Times'!$F$5:$F$21=$B5)),0)</f>
        <v>0</v>
      </c>
      <c r="E5" s="10" cm="1">
        <f t="array" ref="E5">IFERROR(SUM(_xlfn._xlws.FILTER('Worklog_Tasks&amp;Times'!$H$5:$H$21,'Worklog_Tasks&amp;Times'!$F$5:$F$21=$B5)),0)</f>
        <v>0</v>
      </c>
      <c r="F5" s="10" cm="1">
        <f t="array" ref="F5">IFERROR(SUM(_xlfn._xlws.FILTER('Worklog_Tasks&amp;Times'!$H$5:$H$21,'Worklog_Tasks&amp;Times'!$F$5:$F$21=$B5)),0)</f>
        <v>0</v>
      </c>
      <c r="G5" s="10" cm="1">
        <f t="array" ref="G5">IFERROR(SUM(_xlfn._xlws.FILTER('Worklog_Tasks&amp;Times'!$H$5:$H$21,'Worklog_Tasks&amp;Times'!$F$5:$F$21=$B5)),0)</f>
        <v>0</v>
      </c>
      <c r="H5" s="10" cm="1">
        <f t="array" ref="H5">IFERROR(SUM(_xlfn._xlws.FILTER('Worklog_Tasks&amp;Times'!$H$5:$H$21,'Worklog_Tasks&amp;Times'!$F$5:$F$21=$B5)),0)</f>
        <v>0</v>
      </c>
      <c r="I5" s="10" cm="1">
        <f t="array" ref="I5">IFERROR(SUM(_xlfn._xlws.FILTER('Worklog_Tasks&amp;Times'!$H$5:$H$21,'Worklog_Tasks&amp;Times'!$F$5:$F$21=$B5)),0)</f>
        <v>0</v>
      </c>
      <c r="J5" s="10" cm="1">
        <f t="array" ref="J5">IFERROR(SUM(_xlfn._xlws.FILTER('Worklog_Tasks&amp;Times'!$H$5:$H$21,'Worklog_Tasks&amp;Times'!$F$5:$F$21=$B5)),0)</f>
        <v>0</v>
      </c>
      <c r="K5" s="7">
        <f t="shared" si="0"/>
        <v>0</v>
      </c>
    </row>
    <row r="6" spans="2:11" ht="13.8" x14ac:dyDescent="0.3">
      <c r="B6" s="4" t="str">
        <f>'Drop-downs'!C5</f>
        <v>ILO 2.5</v>
      </c>
      <c r="C6" s="10" cm="1">
        <f t="array" ref="C6">IFERROR(SUM(_xlfn._xlws.FILTER('Worklog_Tasks&amp;Times'!$H$5:$H$21,'Worklog_Tasks&amp;Times'!$F$5:$F$21=$B6)),0)</f>
        <v>0</v>
      </c>
      <c r="D6" s="10" cm="1">
        <f t="array" ref="D6">IFERROR(SUM(_xlfn._xlws.FILTER('Worklog_Tasks&amp;Times'!$H$5:$H$21,'Worklog_Tasks&amp;Times'!$F$5:$F$21=$B6)),0)</f>
        <v>0</v>
      </c>
      <c r="E6" s="10" cm="1">
        <f t="array" ref="E6">IFERROR(SUM(_xlfn._xlws.FILTER('Worklog_Tasks&amp;Times'!$H$5:$H$21,'Worklog_Tasks&amp;Times'!$F$5:$F$21=$B6)),0)</f>
        <v>0</v>
      </c>
      <c r="F6" s="10" cm="1">
        <f t="array" ref="F6">IFERROR(SUM(_xlfn._xlws.FILTER('Worklog_Tasks&amp;Times'!$H$5:$H$21,'Worklog_Tasks&amp;Times'!$F$5:$F$21=$B6)),0)</f>
        <v>0</v>
      </c>
      <c r="G6" s="10" cm="1">
        <f t="array" ref="G6">IFERROR(SUM(_xlfn._xlws.FILTER('Worklog_Tasks&amp;Times'!$H$5:$H$21,'Worklog_Tasks&amp;Times'!$F$5:$F$21=$B6)),0)</f>
        <v>0</v>
      </c>
      <c r="H6" s="10" cm="1">
        <f t="array" ref="H6">IFERROR(SUM(_xlfn._xlws.FILTER('Worklog_Tasks&amp;Times'!$H$5:$H$21,'Worklog_Tasks&amp;Times'!$F$5:$F$21=$B6)),0)</f>
        <v>0</v>
      </c>
      <c r="I6" s="10" cm="1">
        <f t="array" ref="I6">IFERROR(SUM(_xlfn._xlws.FILTER('Worklog_Tasks&amp;Times'!$H$5:$H$21,'Worklog_Tasks&amp;Times'!$F$5:$F$21=$B6)),0)</f>
        <v>0</v>
      </c>
      <c r="J6" s="10" cm="1">
        <f t="array" ref="J6">IFERROR(SUM(_xlfn._xlws.FILTER('Worklog_Tasks&amp;Times'!$H$5:$H$21,'Worklog_Tasks&amp;Times'!$F$5:$F$21=$B6)),0)</f>
        <v>0</v>
      </c>
      <c r="K6" s="7">
        <f t="shared" si="0"/>
        <v>0</v>
      </c>
    </row>
    <row r="7" spans="2:11" ht="13.8" x14ac:dyDescent="0.3">
      <c r="B7" s="4" t="str">
        <f>'Drop-downs'!C6</f>
        <v>ILO 3.5</v>
      </c>
      <c r="C7" s="10" cm="1">
        <f t="array" ref="C7">IFERROR(SUM(_xlfn._xlws.FILTER('Worklog_Tasks&amp;Times'!$H$5:$H$21,'Worklog_Tasks&amp;Times'!$F$5:$F$21=$B7)),0)</f>
        <v>0</v>
      </c>
      <c r="D7" s="10" cm="1">
        <f t="array" ref="D7">IFERROR(SUM(_xlfn._xlws.FILTER('Worklog_Tasks&amp;Times'!$H$5:$H$21,'Worklog_Tasks&amp;Times'!$F$5:$F$21=$B7)),0)</f>
        <v>0</v>
      </c>
      <c r="E7" s="10" cm="1">
        <f t="array" ref="E7">IFERROR(SUM(_xlfn._xlws.FILTER('Worklog_Tasks&amp;Times'!$H$5:$H$21,'Worklog_Tasks&amp;Times'!$F$5:$F$21=$B7)),0)</f>
        <v>0</v>
      </c>
      <c r="F7" s="10" cm="1">
        <f t="array" ref="F7">IFERROR(SUM(_xlfn._xlws.FILTER('Worklog_Tasks&amp;Times'!$H$5:$H$21,'Worklog_Tasks&amp;Times'!$F$5:$F$21=$B7)),0)</f>
        <v>0</v>
      </c>
      <c r="G7" s="10" cm="1">
        <f t="array" ref="G7">IFERROR(SUM(_xlfn._xlws.FILTER('Worklog_Tasks&amp;Times'!$H$5:$H$21,'Worklog_Tasks&amp;Times'!$F$5:$F$21=$B7)),0)</f>
        <v>0</v>
      </c>
      <c r="H7" s="10" cm="1">
        <f t="array" ref="H7">IFERROR(SUM(_xlfn._xlws.FILTER('Worklog_Tasks&amp;Times'!$H$5:$H$21,'Worklog_Tasks&amp;Times'!$F$5:$F$21=$B7)),0)</f>
        <v>0</v>
      </c>
      <c r="I7" s="10" cm="1">
        <f t="array" ref="I7">IFERROR(SUM(_xlfn._xlws.FILTER('Worklog_Tasks&amp;Times'!$H$5:$H$21,'Worklog_Tasks&amp;Times'!$F$5:$F$21=$B7)),0)</f>
        <v>0</v>
      </c>
      <c r="J7" s="10" cm="1">
        <f t="array" ref="J7">IFERROR(SUM(_xlfn._xlws.FILTER('Worklog_Tasks&amp;Times'!$H$5:$H$21,'Worklog_Tasks&amp;Times'!$F$5:$F$21=$B7)),0)</f>
        <v>0</v>
      </c>
      <c r="K7" s="7">
        <f t="shared" si="0"/>
        <v>0</v>
      </c>
    </row>
    <row r="8" spans="2:11" ht="13.8" x14ac:dyDescent="0.3">
      <c r="B8" s="4" t="str">
        <f>'Drop-downs'!C7</f>
        <v>ILO 4.4</v>
      </c>
      <c r="C8" s="10" cm="1">
        <f t="array" ref="C8">IFERROR(SUM(_xlfn._xlws.FILTER('Worklog_Tasks&amp;Times'!$H$5:$H$21,'Worklog_Tasks&amp;Times'!$F$5:$F$21=$B8)),0)</f>
        <v>0</v>
      </c>
      <c r="D8" s="10" cm="1">
        <f t="array" ref="D8">IFERROR(SUM(_xlfn._xlws.FILTER('Worklog_Tasks&amp;Times'!$H$5:$H$21,'Worklog_Tasks&amp;Times'!$F$5:$F$21=$B8)),0)</f>
        <v>0</v>
      </c>
      <c r="E8" s="10" cm="1">
        <f t="array" ref="E8">IFERROR(SUM(_xlfn._xlws.FILTER('Worklog_Tasks&amp;Times'!$H$5:$H$21,'Worklog_Tasks&amp;Times'!$F$5:$F$21=$B8)),0)</f>
        <v>0</v>
      </c>
      <c r="F8" s="10" cm="1">
        <f t="array" ref="F8">IFERROR(SUM(_xlfn._xlws.FILTER('Worklog_Tasks&amp;Times'!$H$5:$H$21,'Worklog_Tasks&amp;Times'!$F$5:$F$21=$B8)),0)</f>
        <v>0</v>
      </c>
      <c r="G8" s="10" cm="1">
        <f t="array" ref="G8">IFERROR(SUM(_xlfn._xlws.FILTER('Worklog_Tasks&amp;Times'!$H$5:$H$21,'Worklog_Tasks&amp;Times'!$F$5:$F$21=$B8)),0)</f>
        <v>0</v>
      </c>
      <c r="H8" s="10" cm="1">
        <f t="array" ref="H8">IFERROR(SUM(_xlfn._xlws.FILTER('Worklog_Tasks&amp;Times'!$H$5:$H$21,'Worklog_Tasks&amp;Times'!$F$5:$F$21=$B8)),0)</f>
        <v>0</v>
      </c>
      <c r="I8" s="10" cm="1">
        <f t="array" ref="I8">IFERROR(SUM(_xlfn._xlws.FILTER('Worklog_Tasks&amp;Times'!$H$5:$H$21,'Worklog_Tasks&amp;Times'!$F$5:$F$21=$B8)),0)</f>
        <v>0</v>
      </c>
      <c r="J8" s="10" cm="1">
        <f t="array" ref="J8">IFERROR(SUM(_xlfn._xlws.FILTER('Worklog_Tasks&amp;Times'!$H$5:$H$21,'Worklog_Tasks&amp;Times'!$F$5:$F$21=$B8)),0)</f>
        <v>0</v>
      </c>
      <c r="K8" s="7">
        <f t="shared" ref="K8" si="1">SUM(C8:J8)</f>
        <v>0</v>
      </c>
    </row>
    <row r="9" spans="2:11" ht="13.8" x14ac:dyDescent="0.3">
      <c r="B9" s="4" t="str">
        <f>'Drop-downs'!C8</f>
        <v>ILO 7.3</v>
      </c>
      <c r="C9" s="10" cm="1">
        <f t="array" ref="C9">IFERROR(SUM(_xlfn._xlws.FILTER('Worklog_Tasks&amp;Times'!$H$5:$H$21,'Worklog_Tasks&amp;Times'!$F$5:$F$21=$B9)),0)</f>
        <v>0</v>
      </c>
      <c r="D9" s="10" cm="1">
        <f t="array" ref="D9">IFERROR(SUM(_xlfn._xlws.FILTER('Worklog_Tasks&amp;Times'!$H$5:$H$21,'Worklog_Tasks&amp;Times'!$F$5:$F$21=$B9)),0)</f>
        <v>0</v>
      </c>
      <c r="E9" s="10" cm="1">
        <f t="array" ref="E9">IFERROR(SUM(_xlfn._xlws.FILTER('Worklog_Tasks&amp;Times'!$H$5:$H$21,'Worklog_Tasks&amp;Times'!$F$5:$F$21=$B9)),0)</f>
        <v>0</v>
      </c>
      <c r="F9" s="10" cm="1">
        <f t="array" ref="F9">IFERROR(SUM(_xlfn._xlws.FILTER('Worklog_Tasks&amp;Times'!$H$5:$H$21,'Worklog_Tasks&amp;Times'!$F$5:$F$21=$B9)),0)</f>
        <v>0</v>
      </c>
      <c r="G9" s="10" cm="1">
        <f t="array" ref="G9">IFERROR(SUM(_xlfn._xlws.FILTER('Worklog_Tasks&amp;Times'!$H$5:$H$21,'Worklog_Tasks&amp;Times'!$F$5:$F$21=$B9)),0)</f>
        <v>0</v>
      </c>
      <c r="H9" s="10" cm="1">
        <f t="array" ref="H9">IFERROR(SUM(_xlfn._xlws.FILTER('Worklog_Tasks&amp;Times'!$H$5:$H$21,'Worklog_Tasks&amp;Times'!$F$5:$F$21=$B9)),0)</f>
        <v>0</v>
      </c>
      <c r="I9" s="10" cm="1">
        <f t="array" ref="I9">IFERROR(SUM(_xlfn._xlws.FILTER('Worklog_Tasks&amp;Times'!$H$5:$H$21,'Worklog_Tasks&amp;Times'!$F$5:$F$21=$B9)),0)</f>
        <v>0</v>
      </c>
      <c r="J9" s="10" cm="1">
        <f t="array" ref="J9">IFERROR(SUM(_xlfn._xlws.FILTER('Worklog_Tasks&amp;Times'!$H$5:$H$21,'Worklog_Tasks&amp;Times'!$F$5:$F$21=$B9)),0)</f>
        <v>0</v>
      </c>
      <c r="K9" s="7">
        <f t="shared" si="0"/>
        <v>0</v>
      </c>
    </row>
    <row r="10" spans="2:11" ht="13.8" x14ac:dyDescent="0.3">
      <c r="B10" s="4" t="str">
        <f>'Drop-downs'!C9</f>
        <v>ILO 11.2</v>
      </c>
      <c r="C10" s="10" cm="1">
        <f t="array" ref="C10">IFERROR(SUM(_xlfn._xlws.FILTER('Worklog_Tasks&amp;Times'!$H$5:$H$21,'Worklog_Tasks&amp;Times'!$F$5:$F$21=$B10)),0)</f>
        <v>0</v>
      </c>
      <c r="D10" s="10" cm="1">
        <f t="array" ref="D10">IFERROR(SUM(_xlfn._xlws.FILTER('Worklog_Tasks&amp;Times'!$H$5:$H$21,'Worklog_Tasks&amp;Times'!$F$5:$F$21=$B10)),0)</f>
        <v>0</v>
      </c>
      <c r="E10" s="10" cm="1">
        <f t="array" ref="E10">IFERROR(SUM(_xlfn._xlws.FILTER('Worklog_Tasks&amp;Times'!$H$5:$H$21,'Worklog_Tasks&amp;Times'!$F$5:$F$21=$B10)),0)</f>
        <v>0</v>
      </c>
      <c r="F10" s="10" cm="1">
        <f t="array" ref="F10">IFERROR(SUM(_xlfn._xlws.FILTER('Worklog_Tasks&amp;Times'!$H$5:$H$21,'Worklog_Tasks&amp;Times'!$F$5:$F$21=$B10)),0)</f>
        <v>0</v>
      </c>
      <c r="G10" s="10" cm="1">
        <f t="array" ref="G10">IFERROR(SUM(_xlfn._xlws.FILTER('Worklog_Tasks&amp;Times'!$H$5:$H$21,'Worklog_Tasks&amp;Times'!$F$5:$F$21=$B10)),0)</f>
        <v>0</v>
      </c>
      <c r="H10" s="10" cm="1">
        <f t="array" ref="H10">IFERROR(SUM(_xlfn._xlws.FILTER('Worklog_Tasks&amp;Times'!$H$5:$H$21,'Worklog_Tasks&amp;Times'!$F$5:$F$21=$B10)),0)</f>
        <v>0</v>
      </c>
      <c r="I10" s="10" cm="1">
        <f t="array" ref="I10">IFERROR(SUM(_xlfn._xlws.FILTER('Worklog_Tasks&amp;Times'!$H$5:$H$21,'Worklog_Tasks&amp;Times'!$F$5:$F$21=$B10)),0)</f>
        <v>0</v>
      </c>
      <c r="J10" s="10" cm="1">
        <f t="array" ref="J10">IFERROR(SUM(_xlfn._xlws.FILTER('Worklog_Tasks&amp;Times'!$H$5:$H$21,'Worklog_Tasks&amp;Times'!$F$5:$F$21=$B10)),0)</f>
        <v>0</v>
      </c>
      <c r="K10" s="7">
        <f t="shared" ref="K10" si="2">SUM(C10:J10)</f>
        <v>0</v>
      </c>
    </row>
    <row r="11" spans="2:11" ht="13.8" x14ac:dyDescent="0.3">
      <c r="B11" s="4">
        <f>'Drop-downs'!C10</f>
        <v>0</v>
      </c>
      <c r="C11" s="10"/>
      <c r="D11" s="10"/>
      <c r="E11" s="10"/>
      <c r="F11" s="10"/>
      <c r="G11" s="10"/>
      <c r="H11" s="10"/>
      <c r="I11" s="10"/>
      <c r="J11" s="10"/>
      <c r="K11" s="7">
        <f t="shared" ref="K11" si="3">SUM(C11:J11)</f>
        <v>0</v>
      </c>
    </row>
    <row r="12" spans="2:11" ht="13.8" x14ac:dyDescent="0.3">
      <c r="B12" s="11" t="s">
        <v>34</v>
      </c>
      <c r="C12" s="12">
        <f t="shared" ref="C12:J12" si="4">SUM(C3:C9)</f>
        <v>0</v>
      </c>
      <c r="D12" s="12">
        <f t="shared" si="4"/>
        <v>0</v>
      </c>
      <c r="E12" s="12">
        <f t="shared" si="4"/>
        <v>0</v>
      </c>
      <c r="F12" s="12">
        <f t="shared" si="4"/>
        <v>0</v>
      </c>
      <c r="G12" s="12">
        <f t="shared" si="4"/>
        <v>0</v>
      </c>
      <c r="H12" s="12">
        <f t="shared" si="4"/>
        <v>0</v>
      </c>
      <c r="I12" s="12">
        <f t="shared" si="4"/>
        <v>0</v>
      </c>
      <c r="J12" s="12">
        <f t="shared" si="4"/>
        <v>0</v>
      </c>
      <c r="K12" s="14"/>
    </row>
    <row r="13" spans="2:11" ht="13.8" x14ac:dyDescent="0.3">
      <c r="B13" s="16"/>
      <c r="C13" s="17"/>
      <c r="D13" s="17"/>
      <c r="E13" s="17"/>
      <c r="F13" s="17"/>
      <c r="G13" s="17"/>
      <c r="H13" s="17"/>
      <c r="I13" s="17"/>
      <c r="J13" s="17"/>
      <c r="K13" s="17"/>
    </row>
    <row r="14" spans="2:11" ht="15" customHeight="1" x14ac:dyDescent="0.25">
      <c r="B14" s="75" t="s">
        <v>35</v>
      </c>
      <c r="C14" s="76"/>
      <c r="D14" s="76"/>
      <c r="E14" s="76"/>
      <c r="F14" s="76"/>
      <c r="G14" s="76"/>
      <c r="H14" s="76"/>
      <c r="I14" s="76"/>
      <c r="J14" s="76"/>
      <c r="K14" s="76"/>
    </row>
    <row r="18" spans="2:6" ht="15" customHeight="1" x14ac:dyDescent="0.25">
      <c r="B18" s="9"/>
    </row>
    <row r="19" spans="2:6" ht="15" customHeight="1" x14ac:dyDescent="0.25">
      <c r="B19" s="77" t="s">
        <v>36</v>
      </c>
      <c r="C19" s="77"/>
      <c r="D19" s="77"/>
      <c r="E19" s="77"/>
      <c r="F19" s="77"/>
    </row>
    <row r="20" spans="2:6" ht="15" customHeight="1" x14ac:dyDescent="0.25">
      <c r="B20" s="77"/>
      <c r="C20" s="77"/>
      <c r="D20" s="77"/>
      <c r="E20" s="77"/>
      <c r="F20" s="77"/>
    </row>
    <row r="21" spans="2:6" ht="15" customHeight="1" x14ac:dyDescent="0.25">
      <c r="B21" s="77"/>
      <c r="C21" s="77"/>
      <c r="D21" s="77"/>
      <c r="E21" s="77"/>
      <c r="F21" s="77"/>
    </row>
    <row r="22" spans="2:6" ht="15" customHeight="1" x14ac:dyDescent="0.25">
      <c r="B22" s="77"/>
      <c r="C22" s="77"/>
      <c r="D22" s="77"/>
      <c r="E22" s="77"/>
      <c r="F22" s="77"/>
    </row>
    <row r="23" spans="2:6" ht="15" customHeight="1" x14ac:dyDescent="0.25">
      <c r="B23" s="77"/>
      <c r="C23" s="77"/>
      <c r="D23" s="77"/>
      <c r="E23" s="77"/>
      <c r="F23" s="77"/>
    </row>
  </sheetData>
  <mergeCells count="2">
    <mergeCell ref="B14:K14"/>
    <mergeCell ref="B19:F23"/>
  </mergeCells>
  <conditionalFormatting sqref="C12:J12">
    <cfRule type="colorScale" priority="1">
      <colorScale>
        <cfvo type="formula" val="20"/>
        <cfvo type="formula" val="40"/>
        <color rgb="FFE67C73"/>
        <color rgb="FF57BB8A"/>
      </colorScale>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C1000"/>
  <sheetViews>
    <sheetView workbookViewId="0">
      <selection activeCell="C4" sqref="C4"/>
    </sheetView>
  </sheetViews>
  <sheetFormatPr defaultColWidth="14.44140625" defaultRowHeight="15" customHeight="1" x14ac:dyDescent="0.25"/>
  <cols>
    <col min="1" max="6" width="14.44140625" customWidth="1"/>
  </cols>
  <sheetData>
    <row r="1" spans="1:3" ht="15.75" customHeight="1" x14ac:dyDescent="0.25">
      <c r="A1" s="1" t="s">
        <v>37</v>
      </c>
      <c r="B1" s="1" t="s">
        <v>4</v>
      </c>
      <c r="C1" s="1" t="s">
        <v>38</v>
      </c>
    </row>
    <row r="2" spans="1:3" ht="15.75" customHeight="1" x14ac:dyDescent="0.25">
      <c r="A2" t="s">
        <v>39</v>
      </c>
      <c r="B2" t="s">
        <v>39</v>
      </c>
      <c r="C2" s="9" t="s">
        <v>39</v>
      </c>
    </row>
    <row r="3" spans="1:3" ht="15.75" customHeight="1" x14ac:dyDescent="0.25">
      <c r="A3" t="s">
        <v>40</v>
      </c>
      <c r="B3" t="s">
        <v>41</v>
      </c>
      <c r="C3" s="9" t="s">
        <v>42</v>
      </c>
    </row>
    <row r="4" spans="1:3" ht="15.75" customHeight="1" x14ac:dyDescent="0.25">
      <c r="A4" t="s">
        <v>43</v>
      </c>
      <c r="B4" t="s">
        <v>44</v>
      </c>
      <c r="C4" s="9" t="s">
        <v>45</v>
      </c>
    </row>
    <row r="5" spans="1:3" ht="15.75" customHeight="1" x14ac:dyDescent="0.25">
      <c r="A5" t="s">
        <v>46</v>
      </c>
      <c r="B5" t="s">
        <v>47</v>
      </c>
      <c r="C5" s="9" t="s">
        <v>48</v>
      </c>
    </row>
    <row r="6" spans="1:3" ht="15.75" customHeight="1" x14ac:dyDescent="0.25">
      <c r="A6" t="s">
        <v>49</v>
      </c>
      <c r="B6" t="s">
        <v>50</v>
      </c>
      <c r="C6" s="9" t="s">
        <v>51</v>
      </c>
    </row>
    <row r="7" spans="1:3" ht="15.75" customHeight="1" x14ac:dyDescent="0.25">
      <c r="A7" t="s">
        <v>52</v>
      </c>
      <c r="B7" t="s">
        <v>53</v>
      </c>
      <c r="C7" s="9" t="s">
        <v>54</v>
      </c>
    </row>
    <row r="8" spans="1:3" ht="15.75" customHeight="1" x14ac:dyDescent="0.25">
      <c r="A8" t="s">
        <v>55</v>
      </c>
      <c r="B8" t="s">
        <v>56</v>
      </c>
      <c r="C8" s="9" t="s">
        <v>57</v>
      </c>
    </row>
    <row r="9" spans="1:3" ht="15.75" customHeight="1" x14ac:dyDescent="0.25">
      <c r="A9" t="s">
        <v>58</v>
      </c>
      <c r="B9" s="9" t="s">
        <v>59</v>
      </c>
      <c r="C9" s="9" t="s">
        <v>60</v>
      </c>
    </row>
    <row r="10" spans="1:3" ht="15.75" customHeight="1" x14ac:dyDescent="0.25">
      <c r="B10" s="9" t="s">
        <v>61</v>
      </c>
      <c r="C10" s="9"/>
    </row>
    <row r="11" spans="1:3" ht="15.75" customHeight="1" x14ac:dyDescent="0.25">
      <c r="B11" s="9" t="s">
        <v>62</v>
      </c>
    </row>
    <row r="12" spans="1:3" ht="15.75" customHeight="1" x14ac:dyDescent="0.25">
      <c r="B12" s="9" t="s">
        <v>63</v>
      </c>
    </row>
    <row r="13" spans="1:3" ht="15.75" customHeight="1" x14ac:dyDescent="0.25">
      <c r="B13" s="9" t="s">
        <v>64</v>
      </c>
    </row>
    <row r="14" spans="1:3" ht="15.75" customHeight="1" x14ac:dyDescent="0.25">
      <c r="B14" s="9" t="s">
        <v>43</v>
      </c>
    </row>
    <row r="15" spans="1:3" ht="15.75" customHeight="1" x14ac:dyDescent="0.25">
      <c r="B15" s="9" t="s">
        <v>65</v>
      </c>
    </row>
    <row r="16" spans="1:3" ht="15.75" customHeight="1" x14ac:dyDescent="0.25">
      <c r="B16" s="9" t="s">
        <v>66</v>
      </c>
    </row>
    <row r="17" ht="15.75" customHeight="1" x14ac:dyDescent="0.25"/>
    <row r="18" ht="15.75" customHeight="1" x14ac:dyDescent="0.25"/>
    <row r="19" ht="15.75" customHeight="1" x14ac:dyDescent="0.25"/>
    <row r="20" ht="15.75" customHeight="1" x14ac:dyDescent="0.25"/>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0BADAD4AA324BF48804EF76FD903323C" ma:contentTypeVersion="15" ma:contentTypeDescription="Create a new document." ma:contentTypeScope="" ma:versionID="4ea0feda506421460444ca95554a0aab">
  <xsd:schema xmlns:xsd="http://www.w3.org/2001/XMLSchema" xmlns:xs="http://www.w3.org/2001/XMLSchema" xmlns:p="http://schemas.microsoft.com/office/2006/metadata/properties" xmlns:ns2="5ff92c65-ed86-4457-baee-ccd535c9ea21" xmlns:ns3="6c8d291c-a5bf-4049-930d-38db8e991d8e" targetNamespace="http://schemas.microsoft.com/office/2006/metadata/properties" ma:root="true" ma:fieldsID="0fc8cf7d0f5ee312899395875a30595e" ns2:_="" ns3:_="">
    <xsd:import namespace="5ff92c65-ed86-4457-baee-ccd535c9ea21"/>
    <xsd:import namespace="6c8d291c-a5bf-4049-930d-38db8e991d8e"/>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3:SharedWithUsers" minOccurs="0"/>
                <xsd:element ref="ns3:SharedWithDetails" minOccurs="0"/>
                <xsd:element ref="ns2:lcf76f155ced4ddcb4097134ff3c332f" minOccurs="0"/>
                <xsd:element ref="ns3:TaxCatchAll" minOccurs="0"/>
                <xsd:element ref="ns2:MediaServiceDateTaken" minOccurs="0"/>
                <xsd:element ref="ns2:MediaServiceGenerationTime" minOccurs="0"/>
                <xsd:element ref="ns2:MediaServiceEventHashCode" minOccurs="0"/>
                <xsd:element ref="ns2:MediaServiceOCR" minOccurs="0"/>
                <xsd:element ref="ns2:MediaServiceLocation"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ff92c65-ed86-4457-baee-ccd535c9ea2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365a90ea-d0e7-4aae-8ef9-9f5dd1eb65e3" ma:termSetId="09814cd3-568e-fe90-9814-8d621ff8fb84" ma:anchorId="fba54fb3-c3e1-fe81-a776-ca4b69148c4d" ma:open="true" ma:isKeyword="false">
      <xsd:complexType>
        <xsd:sequence>
          <xsd:element ref="pc:Terms" minOccurs="0" maxOccurs="1"/>
        </xsd:sequence>
      </xsd:complexType>
    </xsd:element>
    <xsd:element name="MediaServiceDateTaken" ma:index="17" nillable="true" ma:displayName="MediaServiceDateTaken" ma:hidden="true" ma:indexed="true" ma:internalName="MediaServiceDateTaken" ma:readOnly="true">
      <xsd:simpleType>
        <xsd:restriction base="dms:Text"/>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OCR" ma:index="20" nillable="true" ma:displayName="Extracted Text" ma:internalName="MediaServiceOCR" ma:readOnly="true">
      <xsd:simpleType>
        <xsd:restriction base="dms:Note">
          <xsd:maxLength value="255"/>
        </xsd:restriction>
      </xsd:simpleType>
    </xsd:element>
    <xsd:element name="MediaServiceLocation" ma:index="21" nillable="true" ma:displayName="Location" ma:indexed="true" ma:internalName="MediaServiceLocation" ma:readOnly="true">
      <xsd:simpleType>
        <xsd:restriction base="dms:Text"/>
      </xsd:simpleType>
    </xsd:element>
    <xsd:element name="MediaLengthInSeconds" ma:index="22"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6c8d291c-a5bf-4049-930d-38db8e991d8e"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16" nillable="true" ma:displayName="Taxonomy Catch All Column" ma:hidden="true" ma:list="{2ad53588-c864-4711-ad43-fad96b40598a}" ma:internalName="TaxCatchAll" ma:showField="CatchAllData" ma:web="6c8d291c-a5bf-4049-930d-38db8e991d8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6c8d291c-a5bf-4049-930d-38db8e991d8e" xsi:nil="true"/>
    <lcf76f155ced4ddcb4097134ff3c332f xmlns="5ff92c65-ed86-4457-baee-ccd535c9ea21">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67A64A65-7DA4-4AE1-9847-B817073E4705}">
  <ds:schemaRefs>
    <ds:schemaRef ds:uri="http://schemas.microsoft.com/sharepoint/v3/contenttype/forms"/>
  </ds:schemaRefs>
</ds:datastoreItem>
</file>

<file path=customXml/itemProps2.xml><?xml version="1.0" encoding="utf-8"?>
<ds:datastoreItem xmlns:ds="http://schemas.openxmlformats.org/officeDocument/2006/customXml" ds:itemID="{DBBEA8C5-7A8E-4EDD-924F-588BDEE1426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ff92c65-ed86-4457-baee-ccd535c9ea21"/>
    <ds:schemaRef ds:uri="6c8d291c-a5bf-4049-930d-38db8e991d8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320CF63A-30C9-4A8C-8DF9-EA62B8EC1A62}">
  <ds:schemaRefs>
    <ds:schemaRef ds:uri="http://schemas.microsoft.com/office/2006/metadata/properties"/>
    <ds:schemaRef ds:uri="http://schemas.microsoft.com/office/infopath/2007/PartnerControls"/>
    <ds:schemaRef ds:uri="6c8d291c-a5bf-4049-930d-38db8e991d8e"/>
    <ds:schemaRef ds:uri="5ff92c65-ed86-4457-baee-ccd535c9ea21"/>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Worklog_Tasks&amp;Times</vt:lpstr>
      <vt:lpstr>Overview</vt:lpstr>
      <vt:lpstr>Drop-downs</vt:lpstr>
      <vt:lpstr>'Worklog_Tasks&amp;Times'!Print_Area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Bram Heijligers</dc:creator>
  <cp:keywords/>
  <dc:description/>
  <cp:lastModifiedBy>Czerniak, Maciej Czerniak (243552)</cp:lastModifiedBy>
  <cp:revision/>
  <dcterms:created xsi:type="dcterms:W3CDTF">2020-05-11T09:26:10Z</dcterms:created>
  <dcterms:modified xsi:type="dcterms:W3CDTF">2025-12-12T22:20:56Z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0x0101000BADAD4AA324BF48804EF76FD903323C</vt:lpwstr>
  </property>
  <property fmtid="{D5CDD505-2E9C-101B-9397-08002B2CF9AE}" pid="3" name="MediaServiceImageTags">
    <vt:lpwstr/>
  </property>
</Properties>
</file>