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S:\GitHub\2025-26b-fai2-adsai-MaciejCzerniak243552\Logs\"/>
    </mc:Choice>
  </mc:AlternateContent>
  <xr:revisionPtr revIDLastSave="0" documentId="13_ncr:1_{C720B777-FD9A-4501-9277-6320348FCD2B}" xr6:coauthVersionLast="47" xr6:coauthVersionMax="47" xr10:uidLastSave="{00000000-0000-0000-0000-000000000000}"/>
  <bookViews>
    <workbookView xWindow="-108" yWindow="-108" windowWidth="23256" windowHeight="12456" xr2:uid="{00000000-000D-0000-FFFF-FFFF00000000}"/>
  </bookViews>
  <sheets>
    <sheet name="Worklog_Tasks&amp;Times" sheetId="1" r:id="rId1"/>
    <sheet name="Overview" sheetId="2" state="hidden" r:id="rId2"/>
    <sheet name="Drop-downs" sheetId="3" state="hidden" r:id="rId3"/>
  </sheets>
  <definedNames>
    <definedName name="_xlnm._FilterDatabase" localSheetId="0" hidden="1">'Worklog_Tasks&amp;Times'!$A$1:$K$22</definedName>
    <definedName name="_xlnm.Print_Area" localSheetId="0">'Worklog_Tasks&amp;Times'!$A$1:$K$149</definedName>
    <definedName name="Z_8BAC9A6B_5D32_4E8D_967D_E17D357516F8_.wvu.FilterData" localSheetId="0" hidden="1">'Worklog_Tasks&amp;Times'!$A$1:$K$22</definedName>
  </definedNames>
  <calcPr calcId="191028"/>
  <customWorkbookViews>
    <customWorkbookView name="TODO" guid="{8BAC9A6B-5D32-4E8D-967D-E17D357516F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5" i="1" l="1"/>
  <c r="I53" i="1"/>
  <c r="I50" i="1"/>
  <c r="G85" i="1"/>
  <c r="I69" i="1"/>
  <c r="I68" i="1"/>
  <c r="I67" i="1"/>
  <c r="I66" i="1"/>
  <c r="I65" i="1"/>
  <c r="I64" i="1"/>
  <c r="I63" i="1"/>
  <c r="I62" i="1"/>
  <c r="G41" i="1"/>
  <c r="H41" i="1"/>
  <c r="I40" i="1"/>
  <c r="I34" i="1"/>
  <c r="I21" i="1"/>
  <c r="I15" i="1"/>
  <c r="I16" i="1"/>
  <c r="I17" i="1"/>
  <c r="I18" i="1"/>
  <c r="I19" i="1"/>
  <c r="I20" i="1"/>
  <c r="I8" i="1"/>
  <c r="I169" i="1"/>
  <c r="I168" i="1"/>
  <c r="I167" i="1"/>
  <c r="I166" i="1"/>
  <c r="I165" i="1"/>
  <c r="I164" i="1"/>
  <c r="I163" i="1"/>
  <c r="I162" i="1"/>
  <c r="I147" i="1"/>
  <c r="I146" i="1"/>
  <c r="I145" i="1"/>
  <c r="I144" i="1"/>
  <c r="I143" i="1"/>
  <c r="I142" i="1"/>
  <c r="I141" i="1"/>
  <c r="I126" i="1"/>
  <c r="I125" i="1"/>
  <c r="I124" i="1"/>
  <c r="I123" i="1"/>
  <c r="I122" i="1"/>
  <c r="I121" i="1"/>
  <c r="I120" i="1"/>
  <c r="I119" i="1"/>
  <c r="I104" i="1"/>
  <c r="I103" i="1"/>
  <c r="I102" i="1"/>
  <c r="I101" i="1"/>
  <c r="I100" i="1"/>
  <c r="I99" i="1"/>
  <c r="I98" i="1"/>
  <c r="I97" i="1"/>
  <c r="I82" i="1"/>
  <c r="I81" i="1"/>
  <c r="I80" i="1"/>
  <c r="I79" i="1"/>
  <c r="I78" i="1"/>
  <c r="I77" i="1"/>
  <c r="I76" i="1"/>
  <c r="I61" i="1"/>
  <c r="I60" i="1"/>
  <c r="I59" i="1"/>
  <c r="I57" i="1"/>
  <c r="I56" i="1"/>
  <c r="I39" i="1"/>
  <c r="I38" i="1"/>
  <c r="I37" i="1"/>
  <c r="I35" i="1"/>
  <c r="I36" i="1"/>
  <c r="I14" i="1"/>
  <c r="I13" i="1"/>
  <c r="I12" i="1"/>
  <c r="D4" i="2" a="1"/>
  <c r="D4" i="2" s="1"/>
  <c r="C5" i="2" a="1"/>
  <c r="C5" i="2" s="1"/>
  <c r="C4" i="2" a="1"/>
  <c r="C4" i="2" s="1"/>
  <c r="E4" i="2" a="1"/>
  <c r="E4" i="2" s="1"/>
  <c r="F4" i="2" a="1"/>
  <c r="F4" i="2" s="1"/>
  <c r="G4" i="2" a="1"/>
  <c r="G4" i="2" s="1"/>
  <c r="H4" i="2" a="1"/>
  <c r="H4" i="2" s="1"/>
  <c r="I4" i="2" a="1"/>
  <c r="I4" i="2" s="1"/>
  <c r="J4" i="2" a="1"/>
  <c r="J4" i="2" s="1"/>
  <c r="D5" i="2" a="1"/>
  <c r="D5" i="2" s="1"/>
  <c r="E5" i="2" a="1"/>
  <c r="E5" i="2" s="1"/>
  <c r="F5" i="2" a="1"/>
  <c r="F5" i="2" s="1"/>
  <c r="G5" i="2" a="1"/>
  <c r="G5" i="2" s="1"/>
  <c r="H5" i="2" a="1"/>
  <c r="H5" i="2" s="1"/>
  <c r="I5" i="2" a="1"/>
  <c r="I5" i="2" s="1"/>
  <c r="J5" i="2" a="1"/>
  <c r="J5" i="2" s="1"/>
  <c r="D6" i="2" a="1"/>
  <c r="D6" i="2" s="1"/>
  <c r="E6" i="2" a="1"/>
  <c r="E6" i="2" s="1"/>
  <c r="F6" i="2" a="1"/>
  <c r="F6" i="2" s="1"/>
  <c r="G6" i="2" a="1"/>
  <c r="G6" i="2" s="1"/>
  <c r="H6" i="2" a="1"/>
  <c r="H6" i="2" s="1"/>
  <c r="I6" i="2" a="1"/>
  <c r="I6" i="2" s="1"/>
  <c r="J6" i="2" a="1"/>
  <c r="J6" i="2" s="1"/>
  <c r="D7" i="2" a="1"/>
  <c r="D7" i="2" s="1"/>
  <c r="E7" i="2" a="1"/>
  <c r="E7" i="2" s="1"/>
  <c r="F7" i="2" a="1"/>
  <c r="F7" i="2" s="1"/>
  <c r="G7" i="2" a="1"/>
  <c r="G7" i="2" s="1"/>
  <c r="H7" i="2" a="1"/>
  <c r="H7" i="2" s="1"/>
  <c r="I7" i="2" a="1"/>
  <c r="I7" i="2" s="1"/>
  <c r="J7" i="2" a="1"/>
  <c r="J7" i="2" s="1"/>
  <c r="D8" i="2" a="1"/>
  <c r="D8" i="2" s="1"/>
  <c r="E8" i="2" a="1"/>
  <c r="E8" i="2" s="1"/>
  <c r="F8" i="2" a="1"/>
  <c r="F8" i="2" s="1"/>
  <c r="G8" i="2" a="1"/>
  <c r="G8" i="2" s="1"/>
  <c r="H8" i="2" a="1"/>
  <c r="H8" i="2" s="1"/>
  <c r="I8" i="2" a="1"/>
  <c r="I8" i="2" s="1"/>
  <c r="J8" i="2" a="1"/>
  <c r="J8" i="2" s="1"/>
  <c r="D9" i="2" a="1"/>
  <c r="D9" i="2" s="1"/>
  <c r="E9" i="2" a="1"/>
  <c r="E9" i="2" s="1"/>
  <c r="F9" i="2" a="1"/>
  <c r="F9" i="2" s="1"/>
  <c r="G9" i="2" a="1"/>
  <c r="G9" i="2" s="1"/>
  <c r="H9" i="2" a="1"/>
  <c r="H9" i="2" s="1"/>
  <c r="I9" i="2" a="1"/>
  <c r="I9" i="2" s="1"/>
  <c r="J9" i="2" a="1"/>
  <c r="J9" i="2" s="1"/>
  <c r="D10" i="2" a="1"/>
  <c r="D10" i="2" s="1"/>
  <c r="E10" i="2" a="1"/>
  <c r="E10" i="2" s="1"/>
  <c r="F10" i="2" a="1"/>
  <c r="F10" i="2" s="1"/>
  <c r="G10" i="2" a="1"/>
  <c r="G10" i="2" s="1"/>
  <c r="H10" i="2" a="1"/>
  <c r="H10" i="2" s="1"/>
  <c r="I10" i="2" a="1"/>
  <c r="I10" i="2" s="1"/>
  <c r="J10" i="2" a="1"/>
  <c r="J10" i="2" s="1"/>
  <c r="C6" i="2" a="1"/>
  <c r="C6" i="2" s="1"/>
  <c r="C7" i="2" a="1"/>
  <c r="C7" i="2" s="1"/>
  <c r="C8" i="2" a="1"/>
  <c r="C8" i="2" s="1"/>
  <c r="C9" i="2" a="1"/>
  <c r="C9" i="2" s="1"/>
  <c r="C10" i="2" a="1"/>
  <c r="C10" i="2" s="1"/>
  <c r="H172" i="1"/>
  <c r="G172" i="1"/>
  <c r="I171" i="1"/>
  <c r="I170" i="1"/>
  <c r="I161" i="1"/>
  <c r="I160" i="1"/>
  <c r="I159" i="1"/>
  <c r="I158" i="1"/>
  <c r="I157" i="1"/>
  <c r="I156" i="1"/>
  <c r="I155" i="1"/>
  <c r="I154" i="1"/>
  <c r="H150" i="1"/>
  <c r="G150" i="1"/>
  <c r="B9" i="2"/>
  <c r="B8" i="2"/>
  <c r="B11" i="2"/>
  <c r="B10" i="2"/>
  <c r="K11" i="2"/>
  <c r="I172" i="1" l="1"/>
  <c r="K8" i="2"/>
  <c r="K10" i="2"/>
  <c r="E12" i="2"/>
  <c r="D12" i="2"/>
  <c r="I150" i="1"/>
  <c r="J12" i="2"/>
  <c r="I12" i="2"/>
  <c r="H12" i="2"/>
  <c r="G12" i="2"/>
  <c r="F12" i="2"/>
  <c r="K9" i="2"/>
  <c r="K7" i="2"/>
  <c r="B7" i="2"/>
  <c r="K6" i="2"/>
  <c r="B6" i="2"/>
  <c r="K5" i="2"/>
  <c r="B5" i="2"/>
  <c r="C12" i="2"/>
  <c r="B4" i="2"/>
  <c r="K3" i="2"/>
  <c r="B3" i="2"/>
  <c r="I149" i="1"/>
  <c r="I148" i="1"/>
  <c r="I140" i="1"/>
  <c r="I139" i="1"/>
  <c r="I138" i="1"/>
  <c r="I137" i="1"/>
  <c r="I136" i="1"/>
  <c r="I135" i="1"/>
  <c r="I134" i="1"/>
  <c r="I133" i="1"/>
  <c r="H129" i="1"/>
  <c r="G129" i="1"/>
  <c r="I128" i="1"/>
  <c r="I127" i="1"/>
  <c r="I118" i="1"/>
  <c r="I117" i="1"/>
  <c r="I116" i="1"/>
  <c r="I115" i="1"/>
  <c r="I114" i="1"/>
  <c r="I113" i="1"/>
  <c r="I112" i="1"/>
  <c r="I111" i="1"/>
  <c r="H107" i="1"/>
  <c r="G107" i="1"/>
  <c r="I106" i="1"/>
  <c r="I105" i="1"/>
  <c r="I96" i="1"/>
  <c r="I95" i="1"/>
  <c r="I94" i="1"/>
  <c r="I93" i="1"/>
  <c r="I92" i="1"/>
  <c r="I91" i="1"/>
  <c r="I90" i="1"/>
  <c r="I89" i="1"/>
  <c r="I84" i="1"/>
  <c r="I83" i="1"/>
  <c r="I75" i="1"/>
  <c r="I74" i="1"/>
  <c r="I73" i="1"/>
  <c r="I72" i="1"/>
  <c r="I71" i="1"/>
  <c r="I70" i="1"/>
  <c r="I55" i="1"/>
  <c r="I54" i="1"/>
  <c r="I52" i="1"/>
  <c r="I51" i="1"/>
  <c r="I49" i="1"/>
  <c r="I48" i="1"/>
  <c r="I47" i="1"/>
  <c r="I46" i="1"/>
  <c r="I45" i="1"/>
  <c r="I33" i="1"/>
  <c r="I32" i="1"/>
  <c r="I31" i="1"/>
  <c r="I30" i="1"/>
  <c r="I28" i="1"/>
  <c r="I27" i="1"/>
  <c r="I26" i="1"/>
  <c r="H22" i="1"/>
  <c r="G22" i="1"/>
  <c r="I11" i="1"/>
  <c r="I10" i="1"/>
  <c r="I9" i="1"/>
  <c r="I7" i="1"/>
  <c r="I6" i="1"/>
  <c r="I5" i="1"/>
  <c r="I107" i="1" l="1"/>
  <c r="I22" i="1"/>
  <c r="K4" i="2"/>
  <c r="I41" i="1"/>
  <c r="I85" i="1"/>
  <c r="I129"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<sst xmlns="http://schemas.openxmlformats.org/spreadsheetml/2006/main" count="478" uniqueCount="142">
  <si>
    <t>Date</t>
  </si>
  <si>
    <t>Status</t>
  </si>
  <si>
    <t>Task</t>
  </si>
  <si>
    <t>Description/Planning</t>
  </si>
  <si>
    <t>Task Type</t>
  </si>
  <si>
    <t>Most suited ILO</t>
  </si>
  <si>
    <t>Est Hours</t>
  </si>
  <si>
    <t>Actual Hours</t>
  </si>
  <si>
    <t>Diff</t>
  </si>
  <si>
    <t>Evidence link</t>
  </si>
  <si>
    <t>Task reflection / notes</t>
  </si>
  <si>
    <t>Week 1</t>
  </si>
  <si>
    <t>week plan:</t>
  </si>
  <si>
    <t>- Weekplan item 1
- Weekplan item 2
- Weekplan item 3
- etc</t>
  </si>
  <si>
    <t>Known Risks</t>
  </si>
  <si>
    <t>[Enter known possible issues that are a risk for you to finish the high level week planning]</t>
  </si>
  <si>
    <t>Max 4 hours tasks</t>
  </si>
  <si>
    <t>Total Hours</t>
  </si>
  <si>
    <t>Week 2</t>
  </si>
  <si>
    <t>[Enter known possible issues that are a risk for you to finish the high level week planning] - if any</t>
  </si>
  <si>
    <t>Week 3</t>
  </si>
  <si>
    <t xml:space="preserve">Week 5 </t>
  </si>
  <si>
    <t xml:space="preserve">Week 6 </t>
  </si>
  <si>
    <t>Week 7</t>
  </si>
  <si>
    <t>Week 8</t>
  </si>
  <si>
    <t>Learning Objective</t>
  </si>
  <si>
    <t>W1</t>
  </si>
  <si>
    <t>W2</t>
  </si>
  <si>
    <t>W3</t>
  </si>
  <si>
    <t>W4</t>
  </si>
  <si>
    <t>W5</t>
  </si>
  <si>
    <t>W6</t>
  </si>
  <si>
    <t>W7</t>
  </si>
  <si>
    <t>W8</t>
  </si>
  <si>
    <t xml:space="preserve">Total Hours for objective </t>
  </si>
  <si>
    <t>TOTAL HOURS PER WEEK</t>
  </si>
  <si>
    <t>Use this to plan a high level allocation for all 320 hours you are expected to devote to the course during this block. How do you want to allocate your hours for each week?
Why 320 hours? The European Higher Education Framework states that an academic credit is expected to require 25-28 hours to earn.
You earn 15 credits per block, so you should be expected to devote 375 hours to accomplish that. 
CMGT students do fewer hours because the program is more intense.</t>
  </si>
  <si>
    <r>
      <t xml:space="preserve">If you add more rows to the Worklog Tasks and Time sheet, make sure to update the row count accordingly. For example, if you add an additional row for Week 1, you'll need to adjust all formula in Column C from </t>
    </r>
    <r>
      <rPr>
        <b/>
        <sz val="10"/>
        <rFont val="Arial"/>
        <family val="2"/>
      </rPr>
      <t xml:space="preserve">H14 to H15 </t>
    </r>
    <r>
      <rPr>
        <sz val="10"/>
        <rFont val="Arial"/>
        <family val="2"/>
      </rPr>
      <t xml:space="preserve">and </t>
    </r>
    <r>
      <rPr>
        <b/>
        <sz val="10"/>
        <rFont val="Arial"/>
        <family val="2"/>
      </rPr>
      <t>F14 to F15</t>
    </r>
  </si>
  <si>
    <t>Task Status</t>
  </si>
  <si>
    <t>ILO selection</t>
  </si>
  <si>
    <t>-</t>
  </si>
  <si>
    <t>Planned</t>
  </si>
  <si>
    <t>Design</t>
  </si>
  <si>
    <t>ILO 0.3</t>
  </si>
  <si>
    <t>Unplanned</t>
  </si>
  <si>
    <t>Meeting</t>
  </si>
  <si>
    <t>ILO 1.5</t>
  </si>
  <si>
    <t>Blocked</t>
  </si>
  <si>
    <t>Programming</t>
  </si>
  <si>
    <t>ILO 2.5</t>
  </si>
  <si>
    <t>In-Progress</t>
  </si>
  <si>
    <t>Research</t>
  </si>
  <si>
    <t>ILO 3.5</t>
  </si>
  <si>
    <t>Done</t>
  </si>
  <si>
    <t>Testing</t>
  </si>
  <si>
    <t>ILO 4.4</t>
  </si>
  <si>
    <t>Delayed</t>
  </si>
  <si>
    <t>Workshop</t>
  </si>
  <si>
    <t>ILO 7.3</t>
  </si>
  <si>
    <t>Cancelled</t>
  </si>
  <si>
    <t>Planning</t>
  </si>
  <si>
    <t>ILO 11.2</t>
  </si>
  <si>
    <t>Evidencing</t>
  </si>
  <si>
    <t>Debugging</t>
  </si>
  <si>
    <t>Lecture</t>
  </si>
  <si>
    <t>Study</t>
  </si>
  <si>
    <t>Distraction</t>
  </si>
  <si>
    <t>Break</t>
  </si>
  <si>
    <t>Kick-Off</t>
  </si>
  <si>
    <t>We started the block as always - from kick-off. Last two weeks I was waiting for it and finally I got it. I'm even more excited about computer vision than before.</t>
  </si>
  <si>
    <t>Task 1</t>
  </si>
  <si>
    <t>Image Annotation and Review</t>
  </si>
  <si>
    <t>Next, We had first stand-up with our mentor. My mentor is Alican. I like his approach, he is straight forward and has clear expectations.</t>
  </si>
  <si>
    <t>The only risk that I know about is my dyslexia which can force me to spend more time on reading tasks or can cause troubles during the final presentation.</t>
  </si>
  <si>
    <t>Worklog</t>
  </si>
  <si>
    <t>ILO 2.6</t>
  </si>
  <si>
    <t>Stand-up</t>
  </si>
  <si>
    <t>ILO 6.4</t>
  </si>
  <si>
    <t>Places and Flows Lab</t>
  </si>
  <si>
    <t>Work</t>
  </si>
  <si>
    <t>I work longer on that day since the next day was workshop day and we had a problem with the sensor. I had meeting with people form North Carolina University responsible for the software. Unfortunatelly we didn't fix it at the end. The idea of the workshop evolved afterwards.</t>
  </si>
  <si>
    <t>Workshop in Den Haag</t>
  </si>
  <si>
    <t>The workshop went well. I had an opportunity to refine my presentation skills. It is very important for me to do those types of activity since I usually struggle with presenting. Moreover I had an opportunity to meet world wide known reaserchers from the field of leasurie studies and more.</t>
  </si>
  <si>
    <t>Book</t>
  </si>
  <si>
    <t>Ch1 Introduction</t>
  </si>
  <si>
    <t>Ch2 Digital Image Fundamentals</t>
  </si>
  <si>
    <t>I finished the chapter. Overall, I started reading book before the block began. This approach was motivated by my awareness of having dyslexia, however, my excitement for computer vision also played a major role in my decision to begin early.</t>
  </si>
  <si>
    <t>Week 1 notebooks</t>
  </si>
  <si>
    <t>I started working on nootebooks assigned for week 1. I did something on Monday but I didn't noted it in worklog.</t>
  </si>
  <si>
    <t>The time spent on reading is underestimated since it is hard to track for me. I don't pay attention when I started reading.</t>
  </si>
  <si>
    <t>Tangible Landscape</t>
  </si>
  <si>
    <t>Image Annotation</t>
  </si>
  <si>
    <t>Task_1</t>
  </si>
  <si>
    <t>Self-study</t>
  </si>
  <si>
    <t>Today I started first task which is image annotation. and the main challenge was correctly distinguishing the four classes: root, seed, shoot, and background. At first, I assumed it would be easy to label them based on color and shape differences, but in practice the boundaries were not as clear as expected. The root and shoot often blend into each other, and the seed sometimes has similar tones to the background depending on the lighting. I need to be cautious and if I am not sure whether a given mask is correct, I should consult it with a mentor.  This block promises to be challenging .</t>
  </si>
  <si>
    <t>This week, I focused primarily on reading the assigned chapter, materials dedicated to that week, and starting the Week 1 notebooks. I realised early on that reading takes me longer than average due to dyslexia, so I made the strategic decision to begin the chapter before the block officially started. This helped me reduce pressure during the week and gave me more time to absorb the material. Reflecting on this decision, I can see that early preparation is an effective approach for tasks that require sustained concentration.</t>
  </si>
  <si>
    <t>With small delay I'm finished all notebooks</t>
  </si>
  <si>
    <t>Feedback</t>
  </si>
  <si>
    <t>Feedback session</t>
  </si>
  <si>
    <t>Peer Review Annotation</t>
  </si>
  <si>
    <t>The day started with QGIS training. Afterwards I started working on femto bolt sensor integration to our environment.</t>
  </si>
  <si>
    <t>The task is mostly done. I need to add last images to the file and describe it. Also I plan to verify the the final version with my mentor.</t>
  </si>
  <si>
    <t>Week 2 notebooks</t>
  </si>
  <si>
    <t>I started working on notebooks from second week. However, It was ineffective. I had problem with focus and I decided to end working day afterwards.</t>
  </si>
  <si>
    <t>Today’s feedback session went well and gave me much more clarity about what is expected for ILO 2.6. Before the meeting, I felt uncertain about how to formulate reflections in a way that demonstrates critical thinking. During the session, I realised that I need to be more explicit in analysing my decisions, identifying challenges, and explaining how I plan to improve my workflow based on what I learn each week.
I also noted that I am slightly behind with the notebooks, but I expect to complete the remaining one from last week today.
Next steps:
- Apply the feedback from today by making my reflections more analytical and structured.
- Finish the remaining notebook and review what caused the delay.
- Use future feedback sessions to verify whether my reflections are improving in depth and clarity.</t>
  </si>
  <si>
    <t>Task 2</t>
  </si>
  <si>
    <t>Petri Dish Detection and Extraction</t>
  </si>
  <si>
    <t>Task 2 is about extracting AOI from an image to decrease computation time. I was struggle with the logic of this task at very begining but I checked notebooks and that helped a lot. I'm on the right track.</t>
  </si>
  <si>
    <t>I found in Open CV documentation "connectedComponentsWithStats" function which which turned out to be the solution for the logic of my code. On practice purpose I wrapped the code in handy functions.</t>
  </si>
  <si>
    <t>task_2.ipynb</t>
  </si>
  <si>
    <t>1. Basics.ipynb</t>
  </si>
  <si>
    <t>2. Thresholding and Filtering.ipynb</t>
  </si>
  <si>
    <t>3. Morphological Operations.ipynb</t>
  </si>
  <si>
    <t>6. Object Detection with DL.ipynb</t>
  </si>
  <si>
    <t>5. Image Segmentation.ipynb</t>
  </si>
  <si>
    <t xml:space="preserve">Task 3 </t>
  </si>
  <si>
    <t>Plant Instance Segmentation</t>
  </si>
  <si>
    <t>The task is finished. Now I need to clean the code.</t>
  </si>
  <si>
    <t>Task_3.ipynb</t>
  </si>
  <si>
    <t>I'm in a half way of notebooks for week 2. Small delay in that area but it doesn't have impact on my work flow yet.</t>
  </si>
  <si>
    <t>Final Annotation</t>
  </si>
  <si>
    <t>Today we got peer review adnotations. I can't agree with some of them. I already discussed it with mentor and I'm right about seeds - there are no seeds on my image. During Task 1 review with mentor I got know that I overlabeled the image - mainly roots. It will take a while until I fix it but I believe I finish it before the deadline.</t>
  </si>
  <si>
    <t>Task 4</t>
  </si>
  <si>
    <t>Dataset Preparation for Model Training</t>
  </si>
  <si>
    <t>ILO 8.5</t>
  </si>
  <si>
    <t>I started working on task 4 but I have to admit that I need to finish week 2 notebooks to make it easier for me. I was struggle to get images from multple subdirectories, especially when they have different structure.</t>
  </si>
  <si>
    <t>Travel</t>
  </si>
  <si>
    <t>On that day I was traveling from Netherlands to Poland because our family have earlier chistmas. This is the only oportunity to meet all of them. I didn't see them for a 1,5 year. I informed my mentor beforehand. I'm planing to study over there and work on the project.</t>
  </si>
  <si>
    <t>The addnotation is keep being better. I'm going to finish it tomorrow and submit.</t>
  </si>
  <si>
    <t>Reflection</t>
  </si>
  <si>
    <t>This part of the week pushed me to reflect more deeply on how I handle feedback, unexpected confusion, and dependencies between tasks. I made good progress on the Week 2 notebooks, even though I am slightly behind. At this point, the delay doesn’t affect my workflow, but it made me aware that I need to monitor how these small delays accumulate over time.
While starting Task 4 (dataset preparation), I struggled with retrieving images from multiple subdirectories, particularly because the folder structures were inconsistent. Reflecting on this difficulty, I understood that working on Week 2 notebooks first would give me a clearer foundation and probably make Task 4 more manageable. This helped me see how important it is to respect the intended order of tasks, especially when they build on each other.
The peer-reviewed annotations for Task 1 were a particularly valuable moment for critical thinking. Some of the comments suggested the presence of seeds in my image, but based on my own analysis, there are no seeds in that sample. I discussed this with my mentor, and the feedback confirmed that my interpretation was correct. This reinforced the importance of not accepting peer suggestions blindly and instead evaluating them carefully using my own understanding and evidence.
Next Steps:
- Revisit the annotations and correct the overlabelled regions with more attention to consistency.
- Continue Week 2 notebooks before returning fully to Task 4 to avoid unnecessary confusion.
- Approach peer feedback analytically, confirming suggestions with evidence rather than assuming they are correct.
- Monitor small delays earlier so they do not accumulate into larger workflow issues.</t>
  </si>
  <si>
    <t>This part of the week gave me several opportunities to reflect on how I approach tasks and how I react when things do not go as expected. After work I continued working I continued working on Task 1 Part 2. The technical part of the task progressed well, I reached the final steps - adding the remaining images and writing the description.
Afterwards I switched to notebooks from week 2 of the block. However, I struggled to stay focused, and my work became increasingly ineffective. Instead of pushing through without understanding why, I paused and evaluated the situation. I was mentally tired from switching between training, technical tasks, and notebooks. This made me realise that my productivity drops significantly when I try to handle too many different cognitive tasks in one day.
Next steps:
- Avoid switching between multiple complex tasks in the same day unless needed.
- Start the Week 2 notebooks again when rested to maintain higher quality of work.
- Pay closer attention to when my concentration drops and adjust my workflow accordingly.</t>
  </si>
  <si>
    <t xml:space="preserve">Finally I finished notebooks planed for week 2 and I have some idea what can I do in task 4. </t>
  </si>
  <si>
    <t>I incorporate the approach form notebook 7 from week 2. It looks good so far, however I do not know why the code generate empty variable instead.</t>
  </si>
  <si>
    <t>After long debugging I realise that the differences in structures of datasets made that problem. Moreover I worked on the part of the code which generate datase for the model instead dividing it in patches and safe it in well structured folder as it is shown in Task 4 on github pages. However, I don't think that is a waste of time. First, I've lernt something, second, The logic of the code can be reused in the script where I will divide it into patches and the safe in folders as it is shown in Task 4. I want also incorporate my extraction_dish function in the process since it will reduce ammount of the computation during model training.</t>
  </si>
  <si>
    <t>I finished the function and I run it. I spent some time on testing what size of pathes would be fit the best. I generated only train set part for now, since I want to avoid unnecessary computation. Tomorrow I will display it and check if all patches are correct with their masks. That was a long day, however I have good environment to study - here is quiet and nobody is disrupting me.</t>
  </si>
  <si>
    <t>8. Multiclass Image Segmentation with DL.ipynb</t>
  </si>
  <si>
    <t>7. Image segmentation with DL.ipynb</t>
  </si>
  <si>
    <t>Task 1 part 2</t>
  </si>
  <si>
    <t>Task_4.ipynb</t>
  </si>
  <si>
    <t>This part of the week gave me several moments to reflect on how I handle interruptions, debugging challenges, and task dependencies. I travelled from the Netherlands to Poland for an early family Christmas, and although this disrupted my usual routine, I had informed my mentor beforehand and planned to continue studying while there. This made me think about how important it is to communicate early when personal circumstances temporarily affect availability and to plan proactively around them.
Finishing the Week 2 notebooks was another important step. Completing them gave me a clearer understanding of the methods needed for Task 4, and I could immediately apply some of the ideas from notebook 7. However, when I tried to generate variables for the dataset, the code unexpectedly produced empty outputs. Instead of assuming the code was incorrect, I examined the structure of my dataset more closely and realised that inconsistent folder structures were the real source of the issue.
My work on Task 1 continued progressing, and the annotations are improving with each iteration. I expect to finish and submit them tomorrow. Seeing slow but steady improvement helped me realise that consistent refinement is more valuable than trying to rush the task, especially when accuracy directly affects model performance.
I finished implementing the patch generation function and spent time testing different patch sizes to find the most suitable one. To avoid unnecessary computation, I only generated the training patches for now and plan to inspect them tomorrow to confirm that the masks align correctly. Yesterday was a long day, but working in a quiet space helped me stay focused, and I realised that the environment plays an important role in my productivity.
Next Steps:
- Finalise and submit Task 1 annotations tomorrow.
- Visualise the generated patches and verify mask correctness before producing validation and test sets.
- Integrate the extraction_dish function into the patch-generation pipeline to optimise computation.
- Check dataset structure earlier in future tasks to avoid preventable debugging.
- Continue planning proactively during travel periods to maintain stable progress.</t>
  </si>
  <si>
    <t>I did sanity check and everything seems to be alright.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</si>
</sst>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quot;/&quot;m&quot;/&quot;yy"/>
    <numFmt numFmtId="165" formatCode="d&quot;-&quot;mmm&quot;-&quot;yyyy"/>
    <numFmt numFmtId="166" formatCode="d/m/yy"/>
  </numFmts>
  <fonts count="17" x14ac:knownFonts="1">
    <font>
      <sz val="10"/>
      <color rgb="FF000000"/>
      <name val="Arial"/>
    </font>
    <font>
      <sz val="10"/>
      <color rgb="FFFFFFFF"/>
      <name val="Arial"/>
      <family val="2"/>
    </font>
    <font>
      <b/>
      <sz val="10"/>
      <color rgb="FF000000"/>
      <name val="Calibri"/>
      <family val="2"/>
    </font>
    <font>
      <b/>
      <sz val="9"/>
      <color rgb="FFFFFFFF"/>
      <name val="Calibri"/>
      <family val="2"/>
    </font>
    <font>
      <b/>
      <sz val="9"/>
      <name val="Calibri"/>
      <family val="2"/>
    </font>
    <font>
      <sz val="10"/>
      <name val="Arial"/>
      <family val="2"/>
    </font>
    <font>
      <sz val="10"/>
      <color rgb="FF000000"/>
      <name val="Calibri"/>
      <family val="2"/>
    </font>
    <font>
      <i/>
      <sz val="9"/>
      <color rgb="FF000000"/>
      <name val="Calibri"/>
      <family val="2"/>
    </font>
    <font>
      <sz val="9"/>
      <name val="Calibri"/>
      <family val="2"/>
    </font>
    <font>
      <i/>
      <sz val="8"/>
      <name val="Calibri"/>
      <family val="2"/>
    </font>
    <font>
      <u/>
      <sz val="9"/>
      <color rgb="FF1155CC"/>
      <name val="Calibri"/>
      <family val="2"/>
    </font>
    <font>
      <i/>
      <sz val="10"/>
      <color rgb="FF000000"/>
      <name val="Calibri"/>
      <family val="2"/>
    </font>
    <font>
      <b/>
      <sz val="10"/>
      <name val="Arial"/>
      <family val="2"/>
    </font>
    <font>
      <u/>
      <sz val="10"/>
      <color theme="10"/>
      <name val="Arial"/>
    </font>
    <font>
      <u/>
      <sz val="9"/>
      <color theme="10"/>
      <name val="Calibri"/>
      <family val="2"/>
      <scheme val="minor"/>
    </font>
    <font>
      <u/>
      <sz val="10"/>
      <color theme="10"/>
      <name val="Arial"/>
      <family val="2"/>
    </font>
    <font>
      <sz val="8"/>
      <name val="Arial"/>
      <family val="2"/>
    </font>
  </fonts>
  <fills count="14">
    <fill>
      <patternFill patternType="none"/>
    </fill>
    <fill>
      <patternFill patternType="gray125"/>
    </fill>
    <fill>
      <patternFill patternType="solid">
        <fgColor rgb="FF000000"/>
        <bgColor rgb="FF000000"/>
      </patternFill>
    </fill>
    <fill>
      <patternFill patternType="solid">
        <fgColor rgb="FFE6B8AF"/>
        <bgColor rgb="FFE6B8AF"/>
      </patternFill>
    </fill>
    <fill>
      <patternFill patternType="solid">
        <fgColor rgb="FFF3F3F3"/>
        <bgColor rgb="FFF3F3F3"/>
      </patternFill>
    </fill>
    <fill>
      <patternFill patternType="solid">
        <fgColor rgb="FFEFEFEF"/>
        <bgColor rgb="FFEFEFEF"/>
      </patternFill>
    </fill>
    <fill>
      <patternFill patternType="solid">
        <fgColor rgb="FFFF9900"/>
        <bgColor rgb="FFFF9900"/>
      </patternFill>
    </fill>
    <fill>
      <patternFill patternType="solid">
        <fgColor rgb="FFCCCCCC"/>
        <bgColor rgb="FFCCCCCC"/>
      </patternFill>
    </fill>
    <fill>
      <patternFill patternType="solid">
        <fgColor rgb="FFF4CCCC"/>
        <bgColor rgb="FFF4CCCC"/>
      </patternFill>
    </fill>
    <fill>
      <patternFill patternType="solid">
        <fgColor rgb="FFFCE5CD"/>
        <bgColor rgb="FFFCE5CD"/>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theme="2" tint="-9.9978637043366805E-2"/>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diagonal/>
    </border>
    <border>
      <left/>
      <right style="thin">
        <color indexed="64"/>
      </right>
      <top/>
      <bottom/>
      <diagonal/>
    </border>
    <border>
      <left/>
      <right style="thin">
        <color indexed="64"/>
      </right>
      <top/>
      <bottom style="thin">
        <color rgb="FF000000"/>
      </bottom>
      <diagonal/>
    </border>
    <border>
      <left/>
      <right style="thin">
        <color indexed="64"/>
      </right>
      <top style="thin">
        <color rgb="FF000000"/>
      </top>
      <bottom style="thin">
        <color rgb="FF000000"/>
      </bottom>
      <diagonal/>
    </border>
    <border>
      <left/>
      <right style="thin">
        <color indexed="64"/>
      </right>
      <top style="thin">
        <color rgb="FF000000"/>
      </top>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s>
  <cellStyleXfs count="2">
    <xf numFmtId="0" fontId="0" fillId="0" borderId="0"/>
    <xf numFmtId="0" fontId="13" fillId="0" borderId="0" applyNumberFormat="0" applyFill="0" applyBorder="0" applyAlignment="0" applyProtection="0"/>
  </cellStyleXfs>
  <cellXfs count="78">
    <xf numFmtId="0" fontId="0" fillId="0" borderId="0" xfId="0"/>
    <xf numFmtId="0" fontId="1" fillId="2" borderId="0" xfId="0" applyFont="1" applyFill="1"/>
    <xf numFmtId="0" fontId="2" fillId="0" borderId="2" xfId="0" applyFont="1" applyBorder="1" applyAlignment="1">
      <alignment horizontal="center"/>
    </xf>
    <xf numFmtId="0" fontId="2" fillId="0" borderId="1" xfId="0" applyFont="1" applyBorder="1" applyAlignment="1">
      <alignment horizontal="center"/>
    </xf>
    <xf numFmtId="0" fontId="6" fillId="4" borderId="4" xfId="0" applyFont="1" applyFill="1" applyBorder="1"/>
    <xf numFmtId="0" fontId="4" fillId="3" borderId="3" xfId="0" applyFont="1" applyFill="1" applyBorder="1" applyAlignment="1">
      <alignment vertical="center" wrapText="1"/>
    </xf>
    <xf numFmtId="0" fontId="6" fillId="4" borderId="0" xfId="0" applyFont="1" applyFill="1" applyAlignment="1">
      <alignment horizontal="center" vertical="top"/>
    </xf>
    <xf numFmtId="0" fontId="6" fillId="4" borderId="4" xfId="0" applyFont="1" applyFill="1" applyBorder="1" applyAlignment="1">
      <alignment horizontal="center"/>
    </xf>
    <xf numFmtId="0" fontId="4" fillId="3" borderId="1" xfId="0" applyFont="1" applyFill="1" applyBorder="1" applyAlignment="1">
      <alignment vertical="center" wrapText="1"/>
    </xf>
    <xf numFmtId="0" fontId="5" fillId="0" borderId="0" xfId="0" applyFont="1"/>
    <xf numFmtId="0" fontId="6" fillId="5" borderId="0" xfId="0" applyFont="1" applyFill="1" applyAlignment="1">
      <alignment horizontal="center" vertical="top"/>
    </xf>
    <xf numFmtId="0" fontId="2" fillId="0" borderId="1" xfId="0" applyFont="1" applyBorder="1"/>
    <xf numFmtId="0" fontId="2" fillId="0" borderId="2" xfId="0" applyFont="1" applyBorder="1" applyAlignment="1">
      <alignment horizontal="center" vertical="top"/>
    </xf>
    <xf numFmtId="165" fontId="8" fillId="0" borderId="6" xfId="0" applyNumberFormat="1" applyFont="1" applyBorder="1" applyAlignment="1">
      <alignment vertical="top"/>
    </xf>
    <xf numFmtId="0" fontId="2" fillId="0" borderId="1" xfId="0" applyFont="1" applyBorder="1" applyAlignment="1">
      <alignment horizontal="center" vertical="top"/>
    </xf>
    <xf numFmtId="0" fontId="8" fillId="0" borderId="6" xfId="0" applyFont="1" applyBorder="1" applyAlignment="1">
      <alignment vertical="top"/>
    </xf>
    <xf numFmtId="0" fontId="6" fillId="0" borderId="0" xfId="0" applyFont="1"/>
    <xf numFmtId="0" fontId="6" fillId="0" borderId="0" xfId="0" applyFont="1" applyAlignment="1">
      <alignment horizontal="center"/>
    </xf>
    <xf numFmtId="0" fontId="8" fillId="0" borderId="6" xfId="0" applyFont="1" applyBorder="1" applyAlignment="1">
      <alignment horizontal="right" vertical="top"/>
    </xf>
    <xf numFmtId="0" fontId="8" fillId="0" borderId="6" xfId="0" applyFont="1" applyBorder="1" applyAlignment="1">
      <alignment horizontal="left" vertical="top"/>
    </xf>
    <xf numFmtId="0" fontId="4" fillId="8" borderId="1" xfId="0" applyFont="1" applyFill="1" applyBorder="1" applyAlignment="1">
      <alignment vertical="center" wrapText="1"/>
    </xf>
    <xf numFmtId="0" fontId="4" fillId="9" borderId="3" xfId="0" applyFont="1" applyFill="1" applyBorder="1" applyAlignment="1">
      <alignment vertical="center" wrapText="1"/>
    </xf>
    <xf numFmtId="0" fontId="4" fillId="9" borderId="1" xfId="0" applyFont="1" applyFill="1" applyBorder="1" applyAlignment="1">
      <alignment vertical="center" wrapText="1"/>
    </xf>
    <xf numFmtId="0" fontId="4" fillId="10" borderId="3" xfId="0" applyFont="1" applyFill="1" applyBorder="1" applyAlignment="1">
      <alignment vertical="center" wrapText="1"/>
    </xf>
    <xf numFmtId="0" fontId="4" fillId="10" borderId="1" xfId="0" applyFont="1" applyFill="1" applyBorder="1" applyAlignment="1">
      <alignment vertical="center" wrapText="1"/>
    </xf>
    <xf numFmtId="0" fontId="4" fillId="11" borderId="3" xfId="0" applyFont="1" applyFill="1" applyBorder="1" applyAlignment="1">
      <alignment vertical="center" wrapText="1"/>
    </xf>
    <xf numFmtId="0" fontId="4" fillId="11" borderId="1" xfId="0" applyFont="1" applyFill="1" applyBorder="1" applyAlignment="1">
      <alignment vertical="center" wrapText="1"/>
    </xf>
    <xf numFmtId="0" fontId="4" fillId="12" borderId="3" xfId="0" applyFont="1" applyFill="1" applyBorder="1" applyAlignment="1">
      <alignment vertical="center" wrapText="1"/>
    </xf>
    <xf numFmtId="0" fontId="4" fillId="12" borderId="1" xfId="0" applyFont="1" applyFill="1" applyBorder="1" applyAlignment="1">
      <alignment vertical="center" wrapText="1"/>
    </xf>
    <xf numFmtId="0" fontId="4" fillId="8" borderId="3" xfId="0" applyFont="1" applyFill="1" applyBorder="1" applyAlignment="1">
      <alignment vertical="center" wrapText="1"/>
    </xf>
    <xf numFmtId="0" fontId="4" fillId="13" borderId="3" xfId="0" applyFont="1" applyFill="1" applyBorder="1" applyAlignment="1">
      <alignment vertical="center" wrapText="1"/>
    </xf>
    <xf numFmtId="0" fontId="4" fillId="13" borderId="1" xfId="0" applyFont="1" applyFill="1" applyBorder="1" applyAlignment="1">
      <alignment vertical="center" wrapText="1"/>
    </xf>
    <xf numFmtId="0" fontId="3" fillId="2" borderId="0" xfId="0" applyFont="1" applyFill="1" applyAlignment="1">
      <alignment wrapText="1"/>
    </xf>
    <xf numFmtId="0" fontId="3" fillId="2" borderId="0" xfId="0" applyFont="1" applyFill="1" applyAlignment="1">
      <alignment horizontal="center" wrapText="1"/>
    </xf>
    <xf numFmtId="0" fontId="3" fillId="2" borderId="7" xfId="0" applyFont="1" applyFill="1" applyBorder="1" applyAlignment="1">
      <alignment wrapText="1"/>
    </xf>
    <xf numFmtId="0" fontId="8" fillId="0" borderId="7" xfId="0" applyFont="1" applyBorder="1" applyAlignment="1">
      <alignment vertical="top" wrapText="1"/>
    </xf>
    <xf numFmtId="0" fontId="8" fillId="0" borderId="10" xfId="0" applyFont="1" applyBorder="1" applyAlignment="1">
      <alignment vertical="top"/>
    </xf>
    <xf numFmtId="165" fontId="8" fillId="0" borderId="11" xfId="0" applyNumberFormat="1" applyFont="1" applyBorder="1" applyAlignment="1">
      <alignment vertical="top"/>
    </xf>
    <xf numFmtId="0" fontId="8" fillId="0" borderId="11" xfId="0" applyFont="1" applyBorder="1" applyAlignment="1">
      <alignment vertical="top"/>
    </xf>
    <xf numFmtId="0" fontId="8" fillId="0" borderId="11" xfId="0" applyFont="1" applyBorder="1" applyAlignment="1">
      <alignment horizontal="right" vertical="top"/>
    </xf>
    <xf numFmtId="0" fontId="8" fillId="0" borderId="11" xfId="0" applyFont="1" applyBorder="1" applyAlignment="1">
      <alignment horizontal="left" vertical="top"/>
    </xf>
    <xf numFmtId="0" fontId="8" fillId="0" borderId="12" xfId="0" applyFont="1" applyBorder="1" applyAlignment="1">
      <alignment vertical="top"/>
    </xf>
    <xf numFmtId="164" fontId="8" fillId="0" borderId="0" xfId="0" applyNumberFormat="1" applyFont="1" applyAlignment="1">
      <alignment horizontal="right" vertical="top" wrapText="1"/>
    </xf>
    <xf numFmtId="0" fontId="8" fillId="0" borderId="0" xfId="0" applyFont="1" applyAlignment="1">
      <alignment vertical="top" wrapText="1"/>
    </xf>
    <xf numFmtId="0" fontId="9" fillId="0" borderId="0" xfId="0" applyFont="1" applyAlignment="1">
      <alignment vertical="top" wrapText="1"/>
    </xf>
    <xf numFmtId="0" fontId="8" fillId="0" borderId="0" xfId="0" applyFont="1" applyAlignment="1">
      <alignment horizontal="center" vertical="top" wrapText="1"/>
    </xf>
    <xf numFmtId="0" fontId="8" fillId="0" borderId="0" xfId="0" applyFont="1" applyAlignment="1">
      <alignment horizontal="right" vertical="top" wrapText="1"/>
    </xf>
    <xf numFmtId="0" fontId="10" fillId="0" borderId="0" xfId="0" applyFont="1" applyAlignment="1">
      <alignment horizontal="left" vertical="top" wrapText="1"/>
    </xf>
    <xf numFmtId="0" fontId="0" fillId="0" borderId="0" xfId="0" applyAlignment="1">
      <alignment wrapText="1"/>
    </xf>
    <xf numFmtId="0" fontId="8" fillId="0" borderId="0" xfId="0" applyFont="1" applyAlignment="1">
      <alignment horizontal="left" vertical="top" wrapText="1"/>
    </xf>
    <xf numFmtId="166" fontId="8" fillId="0" borderId="0" xfId="0" applyNumberFormat="1" applyFont="1" applyAlignment="1">
      <alignment horizontal="right" vertical="top" wrapText="1"/>
    </xf>
    <xf numFmtId="0" fontId="14" fillId="0" borderId="0" xfId="1" applyFont="1" applyAlignment="1">
      <alignment horizontal="left" vertical="top" wrapText="1"/>
    </xf>
    <xf numFmtId="0" fontId="13" fillId="0" borderId="0" xfId="1" applyAlignment="1">
      <alignment horizontal="left" vertical="top" wrapText="1"/>
    </xf>
    <xf numFmtId="0" fontId="7" fillId="11" borderId="5" xfId="0" applyFont="1" applyFill="1" applyBorder="1" applyAlignment="1">
      <alignment vertical="center"/>
    </xf>
    <xf numFmtId="0" fontId="5" fillId="0" borderId="2" xfId="0" applyFont="1" applyBorder="1"/>
    <xf numFmtId="0" fontId="5" fillId="0" borderId="9" xfId="0" applyFont="1" applyBorder="1"/>
    <xf numFmtId="0" fontId="4" fillId="12" borderId="5" xfId="0" applyFont="1" applyFill="1" applyBorder="1" applyAlignment="1">
      <alignment vertical="center" wrapText="1"/>
    </xf>
    <xf numFmtId="0" fontId="4" fillId="10" borderId="5" xfId="0" applyFont="1" applyFill="1" applyBorder="1" applyAlignment="1">
      <alignment vertical="center" wrapText="1"/>
    </xf>
    <xf numFmtId="0" fontId="7" fillId="10" borderId="5" xfId="0" applyFont="1" applyFill="1" applyBorder="1" applyAlignment="1">
      <alignment vertical="center"/>
    </xf>
    <xf numFmtId="0" fontId="4" fillId="11" borderId="5" xfId="0" applyFont="1" applyFill="1" applyBorder="1" applyAlignment="1">
      <alignment vertical="center" wrapText="1"/>
    </xf>
    <xf numFmtId="0" fontId="4" fillId="13" borderId="5" xfId="0" applyFont="1" applyFill="1" applyBorder="1" applyAlignment="1">
      <alignment vertical="center" wrapText="1"/>
    </xf>
    <xf numFmtId="0" fontId="5" fillId="13" borderId="2" xfId="0" applyFont="1" applyFill="1" applyBorder="1"/>
    <xf numFmtId="0" fontId="5" fillId="13" borderId="9" xfId="0" applyFont="1" applyFill="1" applyBorder="1"/>
    <xf numFmtId="0" fontId="7" fillId="13" borderId="5" xfId="0" applyFont="1" applyFill="1" applyBorder="1" applyAlignment="1">
      <alignment vertical="center"/>
    </xf>
    <xf numFmtId="0" fontId="4" fillId="3" borderId="3" xfId="0" applyFont="1" applyFill="1" applyBorder="1" applyAlignment="1">
      <alignment horizontal="left" vertical="center" wrapText="1"/>
    </xf>
    <xf numFmtId="0" fontId="5" fillId="0" borderId="3" xfId="0" applyFont="1" applyBorder="1"/>
    <xf numFmtId="0" fontId="5" fillId="0" borderId="8" xfId="0" applyFont="1" applyBorder="1"/>
    <xf numFmtId="0" fontId="7" fillId="3" borderId="5" xfId="0" applyFont="1" applyFill="1" applyBorder="1" applyAlignment="1">
      <alignment vertical="center"/>
    </xf>
    <xf numFmtId="0" fontId="4" fillId="8" borderId="3" xfId="0" applyFont="1" applyFill="1" applyBorder="1" applyAlignment="1">
      <alignment vertical="center" wrapText="1"/>
    </xf>
    <xf numFmtId="0" fontId="7" fillId="8" borderId="5" xfId="0" applyFont="1" applyFill="1" applyBorder="1" applyAlignment="1">
      <alignment vertical="center"/>
    </xf>
    <xf numFmtId="0" fontId="4" fillId="9" borderId="5" xfId="0" applyFont="1" applyFill="1" applyBorder="1" applyAlignment="1">
      <alignment vertical="center" wrapText="1"/>
    </xf>
    <xf numFmtId="0" fontId="7" fillId="9" borderId="5" xfId="0" applyFont="1" applyFill="1" applyBorder="1" applyAlignment="1">
      <alignment vertical="center"/>
    </xf>
    <xf numFmtId="0" fontId="7" fillId="12" borderId="5" xfId="0" applyFont="1" applyFill="1" applyBorder="1" applyAlignment="1">
      <alignment vertical="center"/>
    </xf>
    <xf numFmtId="0" fontId="11" fillId="6" borderId="0" xfId="0" applyFont="1" applyFill="1" applyAlignment="1">
      <alignment vertical="top" wrapText="1"/>
    </xf>
    <xf numFmtId="0" fontId="0" fillId="0" borderId="0" xfId="0"/>
    <xf numFmtId="0" fontId="5" fillId="7" borderId="0" xfId="0" applyFont="1" applyFill="1" applyAlignment="1">
      <alignment horizontal="center" vertical="center" wrapText="1"/>
    </xf>
    <xf numFmtId="0" fontId="15" fillId="0" borderId="0" xfId="1" applyFont="1" applyAlignment="1">
      <alignment horizontal="left" vertical="top" wrapText="1"/>
    </xf>
    <xf numFmtId="0" fontId="13" fillId="0" borderId="0" xfId="1" applyAlignment="1">
      <alignment wrapText="1"/>
    </xf>
  </cellXfs>
  <cellStyles count="2">
    <cellStyle name="Hyperlink" xfId="1" builtinId="8"/>
    <cellStyle name="Normal" xfId="0" builtinId="0"/>
  </cellStyles>
  <dxfs count="23">
    <dxf>
      <fill>
        <patternFill patternType="solid">
          <fgColor rgb="FFFCE8B2"/>
          <bgColor rgb="FFFCE8B2"/>
        </patternFill>
      </fill>
    </dxf>
    <dxf>
      <fill>
        <patternFill patternType="solid">
          <fgColor rgb="FFF4C7C3"/>
          <bgColor rgb="FFF4C7C3"/>
        </patternFill>
      </fill>
    </dxf>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github.com/BredaUniversityADSAI/2025-26b-fai2-adsai-MaciejCzerniak243552/blob/62773e9e842c67a2a3ca198d81154ed0d85a3169/self_study/w2/6.%20Object%20Detection%20with%20DL.ipynb" TargetMode="External"/><Relationship Id="rId13" Type="http://schemas.openxmlformats.org/officeDocument/2006/relationships/hyperlink" Target="https://github.com/BredaUniversityADSAI/2025-26b-fai2-adsai-MaciejCzerniak243552/blob/447483f5a2955471ec98796da1a625ba4d2f811e/Task_3/task_3.ipynb" TargetMode="External"/><Relationship Id="rId18" Type="http://schemas.openxmlformats.org/officeDocument/2006/relationships/hyperlink" Target="https://github.com/BredaUniversityADSAI/2025-26b-fai2-adsai-MaciejCzerniak243552/tree/c067849ee0eff437cdd23cd4c947107f20489046/Task_1/Part%202/17769-17670%20-%20Samara%20Abdelrahman%20A.%20H.%20Samara%20-%2014%20November%202025%201346" TargetMode="External"/><Relationship Id="rId26" Type="http://schemas.openxmlformats.org/officeDocument/2006/relationships/hyperlink" Target="https://github.com/BredaUniversityADSAI/2025-26b-fai2-adsai-MaciejCzerniak243552/blob/9741f58710fc02dc03dd1c6d6e1d644911cf66fb/Task_2/task_2.ipynb" TargetMode="External"/><Relationship Id="rId3" Type="http://schemas.openxmlformats.org/officeDocument/2006/relationships/hyperlink" Target="https://github.com/BredaUniversityADSAI/2025-26b-fai2-adsai-MaciejCzerniak243552/blob/62773e9e842c67a2a3ca198d81154ed0d85a3169/self_study/w1/1.%20Basics.ipynb" TargetMode="External"/><Relationship Id="rId21" Type="http://schemas.openxmlformats.org/officeDocument/2006/relationships/hyperlink" Target="https://github.com/BredaUniversityADSAI/2025-26b-fai2-adsai-MaciejCzerniak243552/blob/c067849ee0eff437cdd23cd4c947107f20489046/Task_4/task_4.ipynb" TargetMode="External"/><Relationship Id="rId7" Type="http://schemas.openxmlformats.org/officeDocument/2006/relationships/hyperlink" Target="https://github.com/BredaUniversityADSAI/2025-26b-fai2-adsai-MaciejCzerniak243552/blob/9741f58710fc02dc03dd1c6d6e1d644911cf66fb/Task_2/task_2.ipynb" TargetMode="External"/><Relationship Id="rId12" Type="http://schemas.openxmlformats.org/officeDocument/2006/relationships/hyperlink" Target="https://github.com/BredaUniversityADSAI/2025-26b-fai2-adsai-MaciejCzerniak243552/blob/447483f5a2955471ec98796da1a625ba4d2f811e/Task_3/task_3.ipynb" TargetMode="External"/><Relationship Id="rId17" Type="http://schemas.openxmlformats.org/officeDocument/2006/relationships/hyperlink" Target="https://github.com/BredaUniversityADSAI/2025-26b-fai2-adsai-MaciejCzerniak243552/tree/c067849ee0eff437cdd23cd4c947107f20489046/Task_1/Part%201" TargetMode="External"/><Relationship Id="rId25" Type="http://schemas.openxmlformats.org/officeDocument/2006/relationships/hyperlink" Target="https://github.com/BredaUniversityADSAI/2025-26b-fai2-adsai-MaciejCzerniak243552/blob/c067849ee0eff437cdd23cd4c947107f20489046/self_study/w2/7.%20Image%20segmentation%20with%20DL.ipynb" TargetMode="External"/><Relationship Id="rId2" Type="http://schemas.openxmlformats.org/officeDocument/2006/relationships/hyperlink" Target="https://github.com/BredaUniversityADSAI/2025-26b-fai2-adsai-MaciejCzerniak243552/tree/789491ff1192860a209c9fda587e39433d98bc51/Task_1" TargetMode="External"/><Relationship Id="rId16" Type="http://schemas.openxmlformats.org/officeDocument/2006/relationships/hyperlink" Target="https://github.com/BredaUniversityADSAI/2025-26b-fai2-adsai-MaciejCzerniak243552/tree/c067849ee0eff437cdd23cd4c947107f20489046/Task_1/Part%201" TargetMode="External"/><Relationship Id="rId20" Type="http://schemas.openxmlformats.org/officeDocument/2006/relationships/hyperlink" Target="https://github.com/BredaUniversityADSAI/2025-26b-fai2-adsai-MaciejCzerniak243552/blob/c067849ee0eff437cdd23cd4c947107f20489046/Task_4/task_4.ipynb" TargetMode="External"/><Relationship Id="rId1" Type="http://schemas.openxmlformats.org/officeDocument/2006/relationships/hyperlink" Target="https://tangible-landscape.github.io/" TargetMode="External"/><Relationship Id="rId6" Type="http://schemas.openxmlformats.org/officeDocument/2006/relationships/hyperlink" Target="https://github.com/BredaUniversityADSAI/2025-26b-fai2-adsai-MaciejCzerniak243552/blob/main/self_study/w1/3.%20Morphological%20Operations.ipynb" TargetMode="External"/><Relationship Id="rId11" Type="http://schemas.openxmlformats.org/officeDocument/2006/relationships/hyperlink" Target="https://github.com/BredaUniversityADSAI/2025-26b-fai2-adsai-MaciejCzerniak243552/blob/447483f5a2955471ec98796da1a625ba4d2f811e/Task_3/task_3.ipynb" TargetMode="External"/><Relationship Id="rId24" Type="http://schemas.openxmlformats.org/officeDocument/2006/relationships/hyperlink" Target="https://github.com/BredaUniversityADSAI/2025-26b-fai2-adsai-MaciejCzerniak243552/blob/c067849ee0eff437cdd23cd4c947107f20489046/self_study/w2/8.%20Multiclass%20Image%20Segmentation%20with%20DL.ipynb" TargetMode="External"/><Relationship Id="rId5" Type="http://schemas.openxmlformats.org/officeDocument/2006/relationships/hyperlink" Target="https://github.com/BredaUniversityADSAI/2025-26b-fai2-adsai-MaciejCzerniak243552/blob/62773e9e842c67a2a3ca198d81154ed0d85a3169/self_study/w1/2.%20Thresholding%20and%20Filtering.ipynb" TargetMode="External"/><Relationship Id="rId15" Type="http://schemas.openxmlformats.org/officeDocument/2006/relationships/hyperlink" Target="https://github.com/BredaUniversityADSAI/2025-26b-fai2-adsai-MaciejCzerniak243552/blob/c067849ee0eff437cdd23cd4c947107f20489046/self_study/w2/6.%20Object%20Detection%20with%20DL.ipynb" TargetMode="External"/><Relationship Id="rId23" Type="http://schemas.openxmlformats.org/officeDocument/2006/relationships/hyperlink" Target="https://github.com/BredaUniversityADSAI/2025-26b-fai2-adsai-MaciejCzerniak243552/blob/c067849ee0eff437cdd23cd4c947107f20489046/Task_4/task_4.ipynb" TargetMode="External"/><Relationship Id="rId28" Type="http://schemas.openxmlformats.org/officeDocument/2006/relationships/printerSettings" Target="../printerSettings/printerSettings1.bin"/><Relationship Id="rId10" Type="http://schemas.openxmlformats.org/officeDocument/2006/relationships/hyperlink" Target="https://github.com/BredaUniversityADSAI/2025-26b-fai2-adsai-MaciejCzerniak243552/blob/62773e9e842c67a2a3ca198d81154ed0d85a3169/self_study/w1/5.%20Image%20Segmentation.ipynb" TargetMode="External"/><Relationship Id="rId19" Type="http://schemas.openxmlformats.org/officeDocument/2006/relationships/hyperlink" Target="https://github.com/BredaUniversityADSAI/2025-26b-fai2-adsai-MaciejCzerniak243552/tree/c067849ee0eff437cdd23cd4c947107f20489046/Task_1/Part%202/17769-17670%20-%20Samara%20Abdelrahman%20A.%20H.%20Samara%20-%2014%20November%202025%201346" TargetMode="External"/><Relationship Id="rId4" Type="http://schemas.openxmlformats.org/officeDocument/2006/relationships/hyperlink" Target="https://github.com/BredaUniversityADSAI/2025-26b-fai2-adsai-MaciejCzerniak243552/tree/789491ff1192860a209c9fda587e39433d98bc51/Task_1" TargetMode="External"/><Relationship Id="rId9" Type="http://schemas.openxmlformats.org/officeDocument/2006/relationships/hyperlink" Target="https://github.com/BredaUniversityADSAI/2025-26b-fai2-adsai-MaciejCzerniak243552/blob/62773e9e842c67a2a3ca198d81154ed0d85a3169/self_study/w2/6.%20Object%20Detection%20with%20DL.ipynb" TargetMode="External"/><Relationship Id="rId14" Type="http://schemas.openxmlformats.org/officeDocument/2006/relationships/hyperlink" Target="https://github.com/BredaUniversityADSAI/2025-26b-fai2-adsai-MaciejCzerniak243552/blob/c067849ee0eff437cdd23cd4c947107f20489046/self_study/w2/7.%20Image%20segmentation%20with%20DL.ipynb" TargetMode="External"/><Relationship Id="rId22" Type="http://schemas.openxmlformats.org/officeDocument/2006/relationships/hyperlink" Target="https://github.com/BredaUniversityADSAI/2025-26b-fai2-adsai-MaciejCzerniak243552/blob/c067849ee0eff437cdd23cd4c947107f20489046/Task_4/task_4.ipynb" TargetMode="External"/><Relationship Id="rId27" Type="http://schemas.openxmlformats.org/officeDocument/2006/relationships/hyperlink" Target="https://github.com/BredaUniversityADSAI/2025-26b-fai2-adsai-MaciejCzerniak243552/blob/c067849ee0eff437cdd23cd4c947107f20489046/Task_4/task_4.ipynb"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K172"/>
  <sheetViews>
    <sheetView tabSelected="1" zoomScaleNormal="100" workbookViewId="0">
      <pane ySplit="1" topLeftCell="A61" activePane="bottomLeft" state="frozen"/>
      <selection pane="bottomLeft" activeCell="D57" sqref="D57"/>
    </sheetView>
  </sheetViews>
  <sheetFormatPr defaultColWidth="14.44140625" defaultRowHeight="15" customHeight="1" x14ac:dyDescent="0.25"/>
  <cols>
    <col min="1" max="1" width="9.77734375" customWidth="1"/>
    <col min="2" max="2" width="11.33203125" customWidth="1"/>
    <col min="3" max="3" width="16.33203125" customWidth="1"/>
    <col min="4" max="4" width="43.44140625" customWidth="1"/>
    <col min="5" max="6" width="15.44140625" customWidth="1"/>
    <col min="7" max="7" width="8.6640625" customWidth="1"/>
    <col min="8" max="8" width="8.44140625" customWidth="1"/>
    <col min="9" max="9" width="6.44140625" customWidth="1"/>
    <col min="10" max="10" width="18.44140625" customWidth="1"/>
    <col min="11" max="11" width="57" customWidth="1"/>
  </cols>
  <sheetData>
    <row r="1" spans="1:11" ht="24" x14ac:dyDescent="0.25">
      <c r="A1" s="32" t="s">
        <v>0</v>
      </c>
      <c r="B1" s="32" t="s">
        <v>1</v>
      </c>
      <c r="C1" s="32" t="s">
        <v>2</v>
      </c>
      <c r="D1" s="32" t="s">
        <v>3</v>
      </c>
      <c r="E1" s="33" t="s">
        <v>4</v>
      </c>
      <c r="F1" s="33" t="s">
        <v>5</v>
      </c>
      <c r="G1" s="33" t="s">
        <v>6</v>
      </c>
      <c r="H1" s="33" t="s">
        <v>7</v>
      </c>
      <c r="I1" s="33" t="s">
        <v>8</v>
      </c>
      <c r="J1" s="33" t="s">
        <v>9</v>
      </c>
      <c r="K1" s="34" t="s">
        <v>10</v>
      </c>
    </row>
    <row r="2" spans="1:11" ht="18.75" customHeight="1" x14ac:dyDescent="0.25">
      <c r="A2" s="64" t="s">
        <v>11</v>
      </c>
      <c r="B2" s="65"/>
      <c r="C2" s="65"/>
      <c r="D2" s="65"/>
      <c r="E2" s="65"/>
      <c r="F2" s="65"/>
      <c r="G2" s="65"/>
      <c r="H2" s="65"/>
      <c r="I2" s="65"/>
      <c r="J2" s="65"/>
      <c r="K2" s="66"/>
    </row>
    <row r="3" spans="1:11" ht="13.2" x14ac:dyDescent="0.25">
      <c r="A3" s="5" t="s">
        <v>12</v>
      </c>
      <c r="B3" s="67" t="s">
        <v>13</v>
      </c>
      <c r="C3" s="54"/>
      <c r="D3" s="54"/>
      <c r="E3" s="54"/>
      <c r="F3" s="54"/>
      <c r="G3" s="54"/>
      <c r="H3" s="54"/>
      <c r="I3" s="54"/>
      <c r="J3" s="54"/>
      <c r="K3" s="55"/>
    </row>
    <row r="4" spans="1:11" ht="27.75" customHeight="1" x14ac:dyDescent="0.25">
      <c r="A4" s="8" t="s">
        <v>14</v>
      </c>
      <c r="B4" s="67" t="s">
        <v>73</v>
      </c>
      <c r="C4" s="54"/>
      <c r="D4" s="54"/>
      <c r="E4" s="54"/>
      <c r="F4" s="54"/>
      <c r="G4" s="54"/>
      <c r="H4" s="54"/>
      <c r="I4" s="54"/>
      <c r="J4" s="54"/>
      <c r="K4" s="55"/>
    </row>
    <row r="5" spans="1:11" s="48" customFormat="1" ht="24" x14ac:dyDescent="0.25">
      <c r="A5" s="42">
        <v>45971</v>
      </c>
      <c r="B5" s="43" t="s">
        <v>53</v>
      </c>
      <c r="C5" s="44" t="s">
        <v>68</v>
      </c>
      <c r="D5" s="43" t="s">
        <v>68</v>
      </c>
      <c r="E5" s="45" t="s">
        <v>45</v>
      </c>
      <c r="F5" s="45"/>
      <c r="G5" s="46">
        <v>1.25</v>
      </c>
      <c r="H5" s="46">
        <v>1.25</v>
      </c>
      <c r="I5" s="46">
        <f t="shared" ref="I5:I22" si="0">H5-G5</f>
        <v>0</v>
      </c>
      <c r="J5" s="47"/>
      <c r="K5" s="35" t="s">
        <v>69</v>
      </c>
    </row>
    <row r="6" spans="1:11" s="48" customFormat="1" ht="24" x14ac:dyDescent="0.25">
      <c r="B6" s="43" t="s">
        <v>53</v>
      </c>
      <c r="C6" s="44" t="s">
        <v>45</v>
      </c>
      <c r="D6" s="43" t="s">
        <v>76</v>
      </c>
      <c r="E6" s="45" t="s">
        <v>45</v>
      </c>
      <c r="F6" s="45" t="s">
        <v>75</v>
      </c>
      <c r="G6" s="46">
        <v>0.25</v>
      </c>
      <c r="H6" s="46">
        <v>0.5</v>
      </c>
      <c r="I6" s="46">
        <f t="shared" si="0"/>
        <v>0.25</v>
      </c>
      <c r="J6" s="47"/>
      <c r="K6" s="35" t="s">
        <v>72</v>
      </c>
    </row>
    <row r="7" spans="1:11" s="48" customFormat="1" ht="13.2" x14ac:dyDescent="0.25">
      <c r="B7" s="43" t="s">
        <v>53</v>
      </c>
      <c r="C7" s="44" t="s">
        <v>70</v>
      </c>
      <c r="D7" s="43" t="s">
        <v>71</v>
      </c>
      <c r="E7" s="45" t="s">
        <v>65</v>
      </c>
      <c r="F7" s="45" t="s">
        <v>77</v>
      </c>
      <c r="G7" s="46">
        <v>3</v>
      </c>
      <c r="H7" s="46">
        <v>3</v>
      </c>
      <c r="I7" s="46">
        <f t="shared" si="0"/>
        <v>0</v>
      </c>
      <c r="J7" s="47"/>
      <c r="K7" s="35"/>
    </row>
    <row r="8" spans="1:11" s="48" customFormat="1" ht="96" x14ac:dyDescent="0.25">
      <c r="B8" s="43" t="s">
        <v>53</v>
      </c>
      <c r="C8" s="44" t="s">
        <v>62</v>
      </c>
      <c r="D8" s="43" t="s">
        <v>74</v>
      </c>
      <c r="E8" s="45" t="s">
        <v>62</v>
      </c>
      <c r="F8" s="45" t="s">
        <v>75</v>
      </c>
      <c r="G8" s="46">
        <v>0.5</v>
      </c>
      <c r="H8" s="46">
        <v>0.5</v>
      </c>
      <c r="I8" s="46">
        <f t="shared" ref="I8" si="1">H8-G8</f>
        <v>0</v>
      </c>
      <c r="J8" s="47"/>
      <c r="K8" s="35" t="s">
        <v>94</v>
      </c>
    </row>
    <row r="9" spans="1:11" s="48" customFormat="1" ht="13.2" x14ac:dyDescent="0.25">
      <c r="B9" s="43" t="s">
        <v>53</v>
      </c>
      <c r="C9" s="44" t="s">
        <v>70</v>
      </c>
      <c r="D9" s="43" t="s">
        <v>91</v>
      </c>
      <c r="E9" s="45" t="s">
        <v>65</v>
      </c>
      <c r="F9" s="45" t="s">
        <v>77</v>
      </c>
      <c r="G9" s="46">
        <v>1</v>
      </c>
      <c r="H9" s="46">
        <v>1</v>
      </c>
      <c r="I9" s="46">
        <f t="shared" si="0"/>
        <v>0</v>
      </c>
      <c r="J9" s="51" t="s">
        <v>92</v>
      </c>
      <c r="K9" s="35"/>
    </row>
    <row r="10" spans="1:11" s="48" customFormat="1" ht="48" x14ac:dyDescent="0.25">
      <c r="A10" s="42">
        <v>45972</v>
      </c>
      <c r="B10" s="43" t="s">
        <v>53</v>
      </c>
      <c r="C10" s="44" t="s">
        <v>79</v>
      </c>
      <c r="D10" s="43" t="s">
        <v>78</v>
      </c>
      <c r="E10" s="45" t="s">
        <v>40</v>
      </c>
      <c r="F10" s="45"/>
      <c r="G10" s="46">
        <v>4</v>
      </c>
      <c r="H10" s="46">
        <v>7</v>
      </c>
      <c r="I10" s="46">
        <f t="shared" si="0"/>
        <v>3</v>
      </c>
      <c r="J10" s="51" t="s">
        <v>90</v>
      </c>
      <c r="K10" s="35" t="s">
        <v>80</v>
      </c>
    </row>
    <row r="11" spans="1:11" s="48" customFormat="1" ht="48" x14ac:dyDescent="0.25">
      <c r="A11" s="42">
        <v>45973</v>
      </c>
      <c r="B11" s="43" t="s">
        <v>53</v>
      </c>
      <c r="C11" s="44" t="s">
        <v>79</v>
      </c>
      <c r="D11" s="43" t="s">
        <v>81</v>
      </c>
      <c r="E11" s="45" t="s">
        <v>40</v>
      </c>
      <c r="F11" s="45"/>
      <c r="G11" s="46">
        <v>4</v>
      </c>
      <c r="H11" s="46">
        <v>12</v>
      </c>
      <c r="I11" s="46">
        <f t="shared" si="0"/>
        <v>8</v>
      </c>
      <c r="J11" s="49"/>
      <c r="K11" s="35" t="s">
        <v>82</v>
      </c>
    </row>
    <row r="12" spans="1:11" s="48" customFormat="1" ht="48" x14ac:dyDescent="0.25">
      <c r="A12" s="42">
        <v>45974</v>
      </c>
      <c r="B12" s="43" t="s">
        <v>53</v>
      </c>
      <c r="C12" s="44" t="s">
        <v>83</v>
      </c>
      <c r="D12" s="43" t="s">
        <v>84</v>
      </c>
      <c r="E12" s="45" t="s">
        <v>65</v>
      </c>
      <c r="F12" s="45" t="s">
        <v>77</v>
      </c>
      <c r="G12" s="46">
        <v>3</v>
      </c>
      <c r="H12" s="46">
        <v>3</v>
      </c>
      <c r="I12" s="46">
        <f t="shared" ref="I12:I15" si="2">H12-G12</f>
        <v>0</v>
      </c>
      <c r="J12" s="47"/>
      <c r="K12" s="35" t="s">
        <v>86</v>
      </c>
    </row>
    <row r="13" spans="1:11" s="48" customFormat="1" ht="13.2" x14ac:dyDescent="0.25">
      <c r="B13" s="43" t="s">
        <v>53</v>
      </c>
      <c r="C13" s="44" t="s">
        <v>83</v>
      </c>
      <c r="D13" s="43" t="s">
        <v>85</v>
      </c>
      <c r="E13" s="45" t="s">
        <v>65</v>
      </c>
      <c r="F13" s="45" t="s">
        <v>77</v>
      </c>
      <c r="G13" s="46">
        <v>4</v>
      </c>
      <c r="H13" s="46">
        <v>4</v>
      </c>
      <c r="I13" s="46">
        <f t="shared" si="2"/>
        <v>0</v>
      </c>
      <c r="J13" s="47"/>
      <c r="K13" s="35"/>
    </row>
    <row r="14" spans="1:11" s="48" customFormat="1" ht="13.2" x14ac:dyDescent="0.25">
      <c r="B14" s="43" t="s">
        <v>53</v>
      </c>
      <c r="C14" s="44" t="s">
        <v>83</v>
      </c>
      <c r="D14" s="43" t="s">
        <v>85</v>
      </c>
      <c r="E14" s="45" t="s">
        <v>65</v>
      </c>
      <c r="F14" s="45" t="s">
        <v>77</v>
      </c>
      <c r="G14" s="46">
        <v>4</v>
      </c>
      <c r="H14" s="46">
        <v>4</v>
      </c>
      <c r="I14" s="46">
        <f t="shared" si="2"/>
        <v>0</v>
      </c>
      <c r="J14" s="47"/>
      <c r="K14" s="35"/>
    </row>
    <row r="15" spans="1:11" s="48" customFormat="1" ht="13.2" x14ac:dyDescent="0.25">
      <c r="A15" s="42">
        <v>45975</v>
      </c>
      <c r="B15" s="43" t="s">
        <v>53</v>
      </c>
      <c r="C15" s="44" t="s">
        <v>70</v>
      </c>
      <c r="D15" s="43" t="s">
        <v>91</v>
      </c>
      <c r="E15" s="45" t="s">
        <v>65</v>
      </c>
      <c r="F15" s="45" t="s">
        <v>77</v>
      </c>
      <c r="G15" s="46">
        <v>3</v>
      </c>
      <c r="H15" s="46">
        <v>3</v>
      </c>
      <c r="I15" s="46">
        <f t="shared" si="2"/>
        <v>0</v>
      </c>
      <c r="J15" s="51" t="s">
        <v>92</v>
      </c>
      <c r="K15" s="35"/>
    </row>
    <row r="16" spans="1:11" s="48" customFormat="1" ht="24" x14ac:dyDescent="0.25">
      <c r="B16" s="43" t="s">
        <v>53</v>
      </c>
      <c r="C16" s="44" t="s">
        <v>83</v>
      </c>
      <c r="D16" s="43" t="s">
        <v>85</v>
      </c>
      <c r="E16" s="45" t="s">
        <v>65</v>
      </c>
      <c r="F16" s="45" t="s">
        <v>77</v>
      </c>
      <c r="G16" s="46">
        <v>2</v>
      </c>
      <c r="H16" s="46">
        <v>2</v>
      </c>
      <c r="I16" s="46">
        <f t="shared" si="0"/>
        <v>0</v>
      </c>
      <c r="J16" s="47"/>
      <c r="K16" s="35" t="s">
        <v>89</v>
      </c>
    </row>
    <row r="17" spans="1:11" s="48" customFormat="1" ht="24" x14ac:dyDescent="0.25">
      <c r="B17" s="43" t="s">
        <v>53</v>
      </c>
      <c r="C17" s="44" t="s">
        <v>93</v>
      </c>
      <c r="D17" s="43" t="s">
        <v>87</v>
      </c>
      <c r="E17" s="45" t="s">
        <v>65</v>
      </c>
      <c r="F17" s="45" t="s">
        <v>77</v>
      </c>
      <c r="G17" s="46">
        <v>2</v>
      </c>
      <c r="H17" s="46">
        <v>2</v>
      </c>
      <c r="I17" s="46">
        <f t="shared" si="0"/>
        <v>0</v>
      </c>
      <c r="J17" s="52" t="s">
        <v>110</v>
      </c>
      <c r="K17" s="35" t="s">
        <v>88</v>
      </c>
    </row>
    <row r="18" spans="1:11" s="48" customFormat="1" ht="13.2" x14ac:dyDescent="0.25">
      <c r="A18" s="42">
        <v>45976</v>
      </c>
      <c r="B18" s="43" t="s">
        <v>53</v>
      </c>
      <c r="C18" s="44" t="s">
        <v>62</v>
      </c>
      <c r="D18" s="43" t="s">
        <v>74</v>
      </c>
      <c r="E18" s="45" t="s">
        <v>62</v>
      </c>
      <c r="F18" s="45" t="s">
        <v>75</v>
      </c>
      <c r="G18" s="46">
        <v>0.5</v>
      </c>
      <c r="H18" s="46">
        <v>0.5</v>
      </c>
      <c r="I18" s="46">
        <f t="shared" si="0"/>
        <v>0</v>
      </c>
      <c r="K18" s="35"/>
    </row>
    <row r="19" spans="1:11" s="48" customFormat="1" ht="26.4" x14ac:dyDescent="0.25">
      <c r="B19" s="43" t="s">
        <v>53</v>
      </c>
      <c r="C19" s="44" t="s">
        <v>93</v>
      </c>
      <c r="D19" s="43" t="s">
        <v>87</v>
      </c>
      <c r="E19" s="45" t="s">
        <v>65</v>
      </c>
      <c r="F19" s="45" t="s">
        <v>77</v>
      </c>
      <c r="G19" s="46">
        <v>1</v>
      </c>
      <c r="H19" s="46">
        <v>1</v>
      </c>
      <c r="I19" s="46">
        <f t="shared" si="0"/>
        <v>0</v>
      </c>
      <c r="J19" s="52" t="s">
        <v>111</v>
      </c>
      <c r="K19" s="35"/>
    </row>
    <row r="20" spans="1:11" s="48" customFormat="1" ht="26.4" x14ac:dyDescent="0.25">
      <c r="A20" s="42">
        <v>45977</v>
      </c>
      <c r="B20" s="43" t="s">
        <v>53</v>
      </c>
      <c r="C20" s="44" t="s">
        <v>93</v>
      </c>
      <c r="D20" s="43" t="s">
        <v>87</v>
      </c>
      <c r="E20" s="45" t="s">
        <v>65</v>
      </c>
      <c r="F20" s="45" t="s">
        <v>77</v>
      </c>
      <c r="G20" s="46">
        <v>0.5</v>
      </c>
      <c r="H20" s="46">
        <v>0.5</v>
      </c>
      <c r="I20" s="46">
        <f t="shared" si="0"/>
        <v>0</v>
      </c>
      <c r="J20" s="52" t="s">
        <v>112</v>
      </c>
      <c r="K20" s="35"/>
    </row>
    <row r="21" spans="1:11" s="48" customFormat="1" ht="84" x14ac:dyDescent="0.25">
      <c r="B21" s="43" t="s">
        <v>53</v>
      </c>
      <c r="C21" s="44" t="s">
        <v>62</v>
      </c>
      <c r="D21" s="43" t="s">
        <v>74</v>
      </c>
      <c r="E21" s="45" t="s">
        <v>62</v>
      </c>
      <c r="F21" s="45" t="s">
        <v>75</v>
      </c>
      <c r="G21" s="46">
        <v>0.5</v>
      </c>
      <c r="H21" s="46">
        <v>0.5</v>
      </c>
      <c r="I21" s="46">
        <f t="shared" ref="I21" si="3">H21-G21</f>
        <v>0</v>
      </c>
      <c r="J21" s="49"/>
      <c r="K21" s="35" t="s">
        <v>95</v>
      </c>
    </row>
    <row r="22" spans="1:11" ht="13.2" x14ac:dyDescent="0.25">
      <c r="A22" s="13"/>
      <c r="B22" s="15"/>
      <c r="C22" s="15"/>
      <c r="D22" s="15"/>
      <c r="E22" s="15" t="s">
        <v>17</v>
      </c>
      <c r="F22" s="15"/>
      <c r="G22" s="18">
        <f>SUM(G5:G21)</f>
        <v>34.5</v>
      </c>
      <c r="H22" s="18">
        <f>SUM(H5:H21)</f>
        <v>45.75</v>
      </c>
      <c r="I22" s="18">
        <f t="shared" si="0"/>
        <v>11.25</v>
      </c>
      <c r="J22" s="19"/>
      <c r="K22" s="36"/>
    </row>
    <row r="23" spans="1:11" ht="18.75" customHeight="1" x14ac:dyDescent="0.25">
      <c r="A23" s="68" t="s">
        <v>18</v>
      </c>
      <c r="B23" s="65"/>
      <c r="C23" s="65"/>
      <c r="D23" s="65"/>
      <c r="E23" s="65"/>
      <c r="F23" s="65"/>
      <c r="G23" s="65"/>
      <c r="H23" s="65"/>
      <c r="I23" s="65"/>
      <c r="J23" s="65"/>
      <c r="K23" s="66"/>
    </row>
    <row r="24" spans="1:11" ht="13.2" x14ac:dyDescent="0.25">
      <c r="A24" s="29" t="s">
        <v>12</v>
      </c>
      <c r="B24" s="69" t="s">
        <v>13</v>
      </c>
      <c r="C24" s="54"/>
      <c r="D24" s="54"/>
      <c r="E24" s="54"/>
      <c r="F24" s="54"/>
      <c r="G24" s="54"/>
      <c r="H24" s="54"/>
      <c r="I24" s="54"/>
      <c r="J24" s="54"/>
      <c r="K24" s="55"/>
    </row>
    <row r="25" spans="1:11" ht="27.75" customHeight="1" x14ac:dyDescent="0.25">
      <c r="A25" s="20" t="s">
        <v>14</v>
      </c>
      <c r="B25" s="69" t="s">
        <v>19</v>
      </c>
      <c r="C25" s="54"/>
      <c r="D25" s="54"/>
      <c r="E25" s="54"/>
      <c r="F25" s="54"/>
      <c r="G25" s="54"/>
      <c r="H25" s="54"/>
      <c r="I25" s="54"/>
      <c r="J25" s="54"/>
      <c r="K25" s="55"/>
    </row>
    <row r="26" spans="1:11" s="48" customFormat="1" ht="26.4" x14ac:dyDescent="0.25">
      <c r="A26" s="50">
        <v>45978</v>
      </c>
      <c r="B26" s="43" t="s">
        <v>53</v>
      </c>
      <c r="C26" s="44" t="s">
        <v>93</v>
      </c>
      <c r="D26" s="43" t="s">
        <v>87</v>
      </c>
      <c r="E26" s="45" t="s">
        <v>65</v>
      </c>
      <c r="F26" s="45" t="s">
        <v>77</v>
      </c>
      <c r="G26" s="46">
        <v>1</v>
      </c>
      <c r="H26" s="46">
        <v>1</v>
      </c>
      <c r="I26" s="46">
        <f t="shared" ref="I26:I41" si="4">H26-G26</f>
        <v>0</v>
      </c>
      <c r="J26" s="52" t="s">
        <v>114</v>
      </c>
      <c r="K26" s="35" t="s">
        <v>96</v>
      </c>
    </row>
    <row r="27" spans="1:11" s="48" customFormat="1" ht="180" x14ac:dyDescent="0.25">
      <c r="B27" s="43" t="s">
        <v>53</v>
      </c>
      <c r="C27" s="44" t="s">
        <v>97</v>
      </c>
      <c r="D27" s="43" t="s">
        <v>98</v>
      </c>
      <c r="E27" s="45" t="s">
        <v>45</v>
      </c>
      <c r="F27" s="45" t="s">
        <v>75</v>
      </c>
      <c r="G27" s="46">
        <v>0.25</v>
      </c>
      <c r="H27" s="46">
        <v>0.4</v>
      </c>
      <c r="I27" s="46">
        <f t="shared" si="4"/>
        <v>0.15000000000000002</v>
      </c>
      <c r="J27" s="49"/>
      <c r="K27" s="35" t="s">
        <v>104</v>
      </c>
    </row>
    <row r="28" spans="1:11" s="48" customFormat="1" ht="26.4" x14ac:dyDescent="0.25">
      <c r="B28" s="43" t="s">
        <v>53</v>
      </c>
      <c r="C28" s="44" t="s">
        <v>93</v>
      </c>
      <c r="D28" s="43" t="s">
        <v>102</v>
      </c>
      <c r="E28" s="45" t="s">
        <v>65</v>
      </c>
      <c r="F28" s="45" t="s">
        <v>77</v>
      </c>
      <c r="G28" s="46">
        <v>1</v>
      </c>
      <c r="H28" s="46">
        <v>1</v>
      </c>
      <c r="I28" s="46">
        <f t="shared" si="4"/>
        <v>0</v>
      </c>
      <c r="J28" s="52" t="s">
        <v>113</v>
      </c>
      <c r="K28" s="35"/>
    </row>
    <row r="29" spans="1:11" s="48" customFormat="1" ht="13.2" x14ac:dyDescent="0.25">
      <c r="B29" s="43" t="s">
        <v>53</v>
      </c>
      <c r="C29" s="44" t="s">
        <v>70</v>
      </c>
      <c r="D29" s="43" t="s">
        <v>99</v>
      </c>
      <c r="E29" s="45" t="s">
        <v>65</v>
      </c>
      <c r="F29" s="45" t="s">
        <v>77</v>
      </c>
      <c r="G29" s="46">
        <v>4</v>
      </c>
      <c r="H29" s="46">
        <v>4</v>
      </c>
      <c r="I29" s="46"/>
      <c r="J29" s="77" t="s">
        <v>138</v>
      </c>
      <c r="K29" s="35"/>
    </row>
    <row r="30" spans="1:11" s="48" customFormat="1" ht="24" x14ac:dyDescent="0.25">
      <c r="A30" s="50">
        <v>45979</v>
      </c>
      <c r="B30" s="43" t="s">
        <v>53</v>
      </c>
      <c r="C30" s="44" t="s">
        <v>79</v>
      </c>
      <c r="D30" s="43" t="s">
        <v>78</v>
      </c>
      <c r="E30" s="45" t="s">
        <v>40</v>
      </c>
      <c r="F30" s="45"/>
      <c r="G30" s="46">
        <v>4</v>
      </c>
      <c r="H30" s="46">
        <v>4</v>
      </c>
      <c r="I30" s="46">
        <f t="shared" si="4"/>
        <v>0</v>
      </c>
      <c r="J30" s="49"/>
      <c r="K30" s="35" t="s">
        <v>100</v>
      </c>
    </row>
    <row r="31" spans="1:11" s="48" customFormat="1" ht="24" x14ac:dyDescent="0.25">
      <c r="B31" s="43" t="s">
        <v>53</v>
      </c>
      <c r="C31" s="44" t="s">
        <v>70</v>
      </c>
      <c r="D31" s="43" t="s">
        <v>99</v>
      </c>
      <c r="E31" s="45" t="s">
        <v>65</v>
      </c>
      <c r="F31" s="45" t="s">
        <v>77</v>
      </c>
      <c r="G31" s="46">
        <v>4</v>
      </c>
      <c r="H31" s="46">
        <v>4</v>
      </c>
      <c r="I31" s="46">
        <f t="shared" si="4"/>
        <v>0</v>
      </c>
      <c r="J31" s="77" t="s">
        <v>138</v>
      </c>
      <c r="K31" s="35" t="s">
        <v>101</v>
      </c>
    </row>
    <row r="32" spans="1:11" s="48" customFormat="1" ht="26.4" x14ac:dyDescent="0.25">
      <c r="B32" s="43" t="s">
        <v>53</v>
      </c>
      <c r="C32" s="44" t="s">
        <v>93</v>
      </c>
      <c r="D32" s="43" t="s">
        <v>102</v>
      </c>
      <c r="E32" s="45" t="s">
        <v>65</v>
      </c>
      <c r="F32" s="45" t="s">
        <v>77</v>
      </c>
      <c r="G32" s="46">
        <v>1</v>
      </c>
      <c r="H32" s="46">
        <v>1</v>
      </c>
      <c r="I32" s="46">
        <f t="shared" si="4"/>
        <v>0</v>
      </c>
      <c r="J32" s="52" t="s">
        <v>113</v>
      </c>
      <c r="K32" s="35" t="s">
        <v>103</v>
      </c>
    </row>
    <row r="33" spans="1:11" s="48" customFormat="1" ht="13.2" x14ac:dyDescent="0.25">
      <c r="A33" s="50">
        <v>45980</v>
      </c>
      <c r="B33" s="43" t="s">
        <v>53</v>
      </c>
      <c r="C33" s="44" t="s">
        <v>45</v>
      </c>
      <c r="D33" s="43" t="s">
        <v>76</v>
      </c>
      <c r="E33" s="45" t="s">
        <v>45</v>
      </c>
      <c r="F33" s="45" t="s">
        <v>75</v>
      </c>
      <c r="G33" s="46">
        <v>0.25</v>
      </c>
      <c r="H33" s="46">
        <v>0.25</v>
      </c>
      <c r="I33" s="46">
        <f t="shared" si="4"/>
        <v>0</v>
      </c>
      <c r="J33" s="49"/>
      <c r="K33" s="35"/>
    </row>
    <row r="34" spans="1:11" s="48" customFormat="1" ht="36" x14ac:dyDescent="0.25">
      <c r="A34" s="50"/>
      <c r="B34" s="43" t="s">
        <v>53</v>
      </c>
      <c r="C34" s="44" t="s">
        <v>105</v>
      </c>
      <c r="D34" s="43" t="s">
        <v>106</v>
      </c>
      <c r="E34" s="45" t="s">
        <v>48</v>
      </c>
      <c r="F34" s="45" t="s">
        <v>77</v>
      </c>
      <c r="G34" s="46">
        <v>4</v>
      </c>
      <c r="H34" s="46">
        <v>4</v>
      </c>
      <c r="I34" s="46">
        <f t="shared" ref="I34" si="5">H34-G34</f>
        <v>0</v>
      </c>
      <c r="J34" s="76" t="s">
        <v>109</v>
      </c>
      <c r="K34" s="35" t="s">
        <v>107</v>
      </c>
    </row>
    <row r="35" spans="1:11" s="48" customFormat="1" ht="36" x14ac:dyDescent="0.25">
      <c r="A35" s="50"/>
      <c r="B35" s="43" t="s">
        <v>53</v>
      </c>
      <c r="C35" s="44" t="s">
        <v>105</v>
      </c>
      <c r="D35" s="43" t="s">
        <v>106</v>
      </c>
      <c r="E35" s="45" t="s">
        <v>48</v>
      </c>
      <c r="F35" s="45" t="s">
        <v>77</v>
      </c>
      <c r="G35" s="46">
        <v>2</v>
      </c>
      <c r="H35" s="46">
        <v>2</v>
      </c>
      <c r="I35" s="46">
        <f t="shared" ref="I35:I39" si="6">H35-G35</f>
        <v>0</v>
      </c>
      <c r="J35" s="76" t="s">
        <v>109</v>
      </c>
      <c r="K35" s="35" t="s">
        <v>108</v>
      </c>
    </row>
    <row r="36" spans="1:11" s="48" customFormat="1" ht="240" x14ac:dyDescent="0.25">
      <c r="A36" s="50"/>
      <c r="B36" s="43" t="s">
        <v>53</v>
      </c>
      <c r="C36" s="44" t="s">
        <v>62</v>
      </c>
      <c r="D36" s="43" t="s">
        <v>74</v>
      </c>
      <c r="E36" s="45" t="s">
        <v>62</v>
      </c>
      <c r="F36" s="45" t="s">
        <v>75</v>
      </c>
      <c r="G36" s="46">
        <v>1</v>
      </c>
      <c r="H36" s="46">
        <v>1</v>
      </c>
      <c r="I36" s="46">
        <f>H36-G36</f>
        <v>0</v>
      </c>
      <c r="J36" s="49"/>
      <c r="K36" s="35" t="s">
        <v>131</v>
      </c>
    </row>
    <row r="37" spans="1:11" s="48" customFormat="1" ht="13.2" x14ac:dyDescent="0.25">
      <c r="A37" s="50">
        <v>45983</v>
      </c>
      <c r="B37" s="43" t="s">
        <v>53</v>
      </c>
      <c r="C37" s="44" t="s">
        <v>115</v>
      </c>
      <c r="D37" s="43" t="s">
        <v>116</v>
      </c>
      <c r="E37" s="45" t="s">
        <v>48</v>
      </c>
      <c r="F37" s="45" t="s">
        <v>77</v>
      </c>
      <c r="G37" s="46">
        <v>4</v>
      </c>
      <c r="H37" s="46">
        <v>4</v>
      </c>
      <c r="I37" s="46">
        <f t="shared" si="6"/>
        <v>0</v>
      </c>
      <c r="J37" s="76" t="s">
        <v>118</v>
      </c>
      <c r="K37" s="35"/>
    </row>
    <row r="38" spans="1:11" s="48" customFormat="1" ht="13.2" x14ac:dyDescent="0.25">
      <c r="A38" s="50"/>
      <c r="B38" s="43" t="s">
        <v>53</v>
      </c>
      <c r="C38" s="44" t="s">
        <v>115</v>
      </c>
      <c r="D38" s="43" t="s">
        <v>116</v>
      </c>
      <c r="E38" s="45" t="s">
        <v>48</v>
      </c>
      <c r="F38" s="45" t="s">
        <v>77</v>
      </c>
      <c r="G38" s="46">
        <v>4</v>
      </c>
      <c r="H38" s="46">
        <v>4</v>
      </c>
      <c r="I38" s="46">
        <f t="shared" si="6"/>
        <v>0</v>
      </c>
      <c r="J38" s="76" t="s">
        <v>118</v>
      </c>
      <c r="K38" s="35"/>
    </row>
    <row r="39" spans="1:11" s="48" customFormat="1" ht="13.2" x14ac:dyDescent="0.25">
      <c r="A39" s="50">
        <v>45984</v>
      </c>
      <c r="B39" s="43" t="s">
        <v>53</v>
      </c>
      <c r="C39" s="44" t="s">
        <v>115</v>
      </c>
      <c r="D39" s="43" t="s">
        <v>116</v>
      </c>
      <c r="E39" s="45" t="s">
        <v>48</v>
      </c>
      <c r="F39" s="45" t="s">
        <v>77</v>
      </c>
      <c r="G39" s="46">
        <v>4</v>
      </c>
      <c r="H39" s="46">
        <v>4</v>
      </c>
      <c r="I39" s="46">
        <f t="shared" si="6"/>
        <v>0</v>
      </c>
      <c r="J39" s="76" t="s">
        <v>118</v>
      </c>
      <c r="K39" s="35" t="s">
        <v>117</v>
      </c>
    </row>
    <row r="40" spans="1:11" s="48" customFormat="1" ht="26.4" x14ac:dyDescent="0.25">
      <c r="A40" s="50"/>
      <c r="B40" s="43" t="s">
        <v>53</v>
      </c>
      <c r="C40" s="44" t="s">
        <v>93</v>
      </c>
      <c r="D40" s="43" t="s">
        <v>102</v>
      </c>
      <c r="E40" s="45" t="s">
        <v>48</v>
      </c>
      <c r="F40" s="45" t="s">
        <v>77</v>
      </c>
      <c r="G40" s="46">
        <v>2</v>
      </c>
      <c r="H40" s="46">
        <v>2</v>
      </c>
      <c r="I40" s="46">
        <f t="shared" ref="I40" si="7">H40-G40</f>
        <v>0</v>
      </c>
      <c r="J40" s="52" t="s">
        <v>113</v>
      </c>
      <c r="K40" s="35"/>
    </row>
    <row r="41" spans="1:11" ht="13.2" x14ac:dyDescent="0.25">
      <c r="A41" s="13"/>
      <c r="B41" s="15"/>
      <c r="C41" s="15"/>
      <c r="D41" s="15"/>
      <c r="E41" s="15" t="s">
        <v>17</v>
      </c>
      <c r="F41" s="15"/>
      <c r="G41" s="18">
        <f>SUM(G24:G40)</f>
        <v>36.5</v>
      </c>
      <c r="H41" s="18">
        <f>SUM(H24:H40)</f>
        <v>36.65</v>
      </c>
      <c r="I41" s="18">
        <f t="shared" si="4"/>
        <v>0.14999999999999858</v>
      </c>
      <c r="J41" s="19"/>
      <c r="K41" s="36"/>
    </row>
    <row r="42" spans="1:11" ht="18.75" customHeight="1" x14ac:dyDescent="0.25">
      <c r="A42" s="70" t="s">
        <v>20</v>
      </c>
      <c r="B42" s="54"/>
      <c r="C42" s="54"/>
      <c r="D42" s="54"/>
      <c r="E42" s="54"/>
      <c r="F42" s="54"/>
      <c r="G42" s="54"/>
      <c r="H42" s="54"/>
      <c r="I42" s="54"/>
      <c r="J42" s="54"/>
      <c r="K42" s="55"/>
    </row>
    <row r="43" spans="1:11" ht="13.2" x14ac:dyDescent="0.25">
      <c r="A43" s="21" t="s">
        <v>12</v>
      </c>
      <c r="B43" s="71" t="s">
        <v>13</v>
      </c>
      <c r="C43" s="54"/>
      <c r="D43" s="54"/>
      <c r="E43" s="54"/>
      <c r="F43" s="54"/>
      <c r="G43" s="54"/>
      <c r="H43" s="54"/>
      <c r="I43" s="54"/>
      <c r="J43" s="54"/>
      <c r="K43" s="55"/>
    </row>
    <row r="44" spans="1:11" ht="27.75" customHeight="1" x14ac:dyDescent="0.25">
      <c r="A44" s="22" t="s">
        <v>14</v>
      </c>
      <c r="B44" s="71" t="s">
        <v>15</v>
      </c>
      <c r="C44" s="54"/>
      <c r="D44" s="54"/>
      <c r="E44" s="54"/>
      <c r="F44" s="54"/>
      <c r="G44" s="54"/>
      <c r="H44" s="54"/>
      <c r="I44" s="54"/>
      <c r="J44" s="54"/>
      <c r="K44" s="55"/>
    </row>
    <row r="45" spans="1:11" s="48" customFormat="1" ht="13.2" x14ac:dyDescent="0.25">
      <c r="A45" s="50">
        <v>45985</v>
      </c>
      <c r="B45" s="43" t="s">
        <v>53</v>
      </c>
      <c r="C45" s="44" t="s">
        <v>45</v>
      </c>
      <c r="D45" s="43" t="s">
        <v>76</v>
      </c>
      <c r="E45" s="45" t="s">
        <v>45</v>
      </c>
      <c r="F45" s="45" t="s">
        <v>75</v>
      </c>
      <c r="G45" s="46">
        <v>0.25</v>
      </c>
      <c r="H45" s="46">
        <v>0.25</v>
      </c>
      <c r="I45" s="46">
        <f t="shared" ref="I45:I50" si="8">H45-G45</f>
        <v>0</v>
      </c>
      <c r="J45" s="49"/>
      <c r="K45" s="35"/>
    </row>
    <row r="46" spans="1:11" s="48" customFormat="1" ht="39.6" x14ac:dyDescent="0.25">
      <c r="B46" s="43" t="s">
        <v>53</v>
      </c>
      <c r="C46" s="44" t="s">
        <v>93</v>
      </c>
      <c r="D46" s="43" t="s">
        <v>102</v>
      </c>
      <c r="E46" s="45" t="s">
        <v>65</v>
      </c>
      <c r="F46" s="45" t="s">
        <v>77</v>
      </c>
      <c r="G46" s="46">
        <v>1</v>
      </c>
      <c r="H46" s="46">
        <v>1</v>
      </c>
      <c r="I46" s="46">
        <f t="shared" si="8"/>
        <v>0</v>
      </c>
      <c r="J46" s="52" t="s">
        <v>137</v>
      </c>
      <c r="K46" s="35" t="s">
        <v>119</v>
      </c>
    </row>
    <row r="47" spans="1:11" s="48" customFormat="1" ht="60" x14ac:dyDescent="0.25">
      <c r="B47" s="43" t="s">
        <v>53</v>
      </c>
      <c r="C47" s="44" t="s">
        <v>70</v>
      </c>
      <c r="D47" s="43" t="s">
        <v>120</v>
      </c>
      <c r="E47" s="45" t="s">
        <v>65</v>
      </c>
      <c r="F47" s="45" t="s">
        <v>77</v>
      </c>
      <c r="G47" s="46">
        <v>3</v>
      </c>
      <c r="H47" s="46">
        <v>3</v>
      </c>
      <c r="I47" s="46">
        <f t="shared" si="8"/>
        <v>0</v>
      </c>
      <c r="J47" s="52" t="s">
        <v>70</v>
      </c>
      <c r="K47" s="35" t="s">
        <v>121</v>
      </c>
    </row>
    <row r="48" spans="1:11" s="48" customFormat="1" ht="36" x14ac:dyDescent="0.25">
      <c r="B48" s="43" t="s">
        <v>53</v>
      </c>
      <c r="C48" s="44" t="s">
        <v>122</v>
      </c>
      <c r="D48" s="43" t="s">
        <v>123</v>
      </c>
      <c r="E48" s="45" t="s">
        <v>48</v>
      </c>
      <c r="F48" s="45" t="s">
        <v>124</v>
      </c>
      <c r="G48" s="46">
        <v>2</v>
      </c>
      <c r="H48" s="46">
        <v>2</v>
      </c>
      <c r="I48" s="46">
        <f t="shared" si="8"/>
        <v>0</v>
      </c>
      <c r="J48" s="52" t="s">
        <v>139</v>
      </c>
      <c r="K48" s="35" t="s">
        <v>125</v>
      </c>
    </row>
    <row r="49" spans="1:11" s="48" customFormat="1" ht="39.6" x14ac:dyDescent="0.25">
      <c r="B49" s="43" t="s">
        <v>53</v>
      </c>
      <c r="C49" s="44" t="s">
        <v>93</v>
      </c>
      <c r="D49" s="43" t="s">
        <v>102</v>
      </c>
      <c r="E49" s="45" t="s">
        <v>65</v>
      </c>
      <c r="F49" s="45" t="s">
        <v>77</v>
      </c>
      <c r="G49" s="46">
        <v>1</v>
      </c>
      <c r="H49" s="46">
        <v>1</v>
      </c>
      <c r="I49" s="46">
        <f t="shared" si="8"/>
        <v>0</v>
      </c>
      <c r="J49" s="52" t="s">
        <v>137</v>
      </c>
      <c r="K49" s="35"/>
    </row>
    <row r="50" spans="1:11" ht="348" x14ac:dyDescent="0.25">
      <c r="A50" s="48"/>
      <c r="B50" s="43" t="s">
        <v>53</v>
      </c>
      <c r="C50" s="44" t="s">
        <v>62</v>
      </c>
      <c r="D50" s="43" t="s">
        <v>129</v>
      </c>
      <c r="E50" s="45" t="s">
        <v>62</v>
      </c>
      <c r="F50" s="45" t="s">
        <v>75</v>
      </c>
      <c r="G50" s="46">
        <v>0.5</v>
      </c>
      <c r="H50" s="46">
        <v>0.5</v>
      </c>
      <c r="I50" s="46">
        <f t="shared" si="8"/>
        <v>0</v>
      </c>
      <c r="K50" s="35" t="s">
        <v>130</v>
      </c>
    </row>
    <row r="51" spans="1:11" s="48" customFormat="1" ht="48" x14ac:dyDescent="0.25">
      <c r="A51" s="50">
        <v>45986</v>
      </c>
      <c r="B51" s="43" t="s">
        <v>40</v>
      </c>
      <c r="C51" s="44" t="s">
        <v>16</v>
      </c>
      <c r="D51" s="43" t="s">
        <v>126</v>
      </c>
      <c r="E51" s="45"/>
      <c r="F51" s="45"/>
      <c r="G51" s="46"/>
      <c r="H51" s="46"/>
      <c r="I51" s="46">
        <f>H51-G51</f>
        <v>0</v>
      </c>
      <c r="J51" s="49"/>
      <c r="K51" s="35" t="s">
        <v>127</v>
      </c>
    </row>
    <row r="52" spans="1:11" s="48" customFormat="1" ht="24" x14ac:dyDescent="0.25">
      <c r="A52" s="50">
        <v>45987</v>
      </c>
      <c r="B52" s="43" t="s">
        <v>53</v>
      </c>
      <c r="C52" s="44" t="s">
        <v>70</v>
      </c>
      <c r="D52" s="43" t="s">
        <v>120</v>
      </c>
      <c r="E52" s="45" t="s">
        <v>65</v>
      </c>
      <c r="F52" s="45" t="s">
        <v>77</v>
      </c>
      <c r="G52" s="46">
        <v>2</v>
      </c>
      <c r="H52" s="46">
        <v>2</v>
      </c>
      <c r="I52" s="46">
        <f>H52-G52</f>
        <v>0</v>
      </c>
      <c r="J52" s="52" t="s">
        <v>70</v>
      </c>
      <c r="K52" s="35" t="s">
        <v>128</v>
      </c>
    </row>
    <row r="53" spans="1:11" s="48" customFormat="1" ht="39.6" x14ac:dyDescent="0.25">
      <c r="A53" s="50"/>
      <c r="B53" s="43" t="s">
        <v>53</v>
      </c>
      <c r="C53" s="44" t="s">
        <v>93</v>
      </c>
      <c r="D53" s="43" t="s">
        <v>102</v>
      </c>
      <c r="E53" s="45" t="s">
        <v>65</v>
      </c>
      <c r="F53" s="45" t="s">
        <v>77</v>
      </c>
      <c r="G53" s="46">
        <v>1</v>
      </c>
      <c r="H53" s="46">
        <v>1</v>
      </c>
      <c r="I53" s="46">
        <f>H53-G53</f>
        <v>0</v>
      </c>
      <c r="J53" s="52" t="s">
        <v>136</v>
      </c>
      <c r="K53" s="35" t="s">
        <v>132</v>
      </c>
    </row>
    <row r="54" spans="1:11" s="48" customFormat="1" ht="24" x14ac:dyDescent="0.25">
      <c r="A54" s="42"/>
      <c r="B54" s="43" t="s">
        <v>53</v>
      </c>
      <c r="C54" s="44" t="s">
        <v>122</v>
      </c>
      <c r="D54" s="43" t="s">
        <v>123</v>
      </c>
      <c r="E54" s="45" t="s">
        <v>48</v>
      </c>
      <c r="F54" s="45" t="s">
        <v>124</v>
      </c>
      <c r="G54" s="46">
        <v>4</v>
      </c>
      <c r="H54" s="46">
        <v>4</v>
      </c>
      <c r="I54" s="46">
        <f>H54-G54</f>
        <v>0</v>
      </c>
      <c r="J54" s="52" t="s">
        <v>139</v>
      </c>
      <c r="K54" s="35" t="s">
        <v>133</v>
      </c>
    </row>
    <row r="55" spans="1:11" s="48" customFormat="1" ht="96" x14ac:dyDescent="0.25">
      <c r="B55" s="43" t="s">
        <v>53</v>
      </c>
      <c r="C55" s="44" t="s">
        <v>122</v>
      </c>
      <c r="D55" s="43" t="s">
        <v>123</v>
      </c>
      <c r="E55" s="45" t="s">
        <v>63</v>
      </c>
      <c r="F55" s="45" t="s">
        <v>124</v>
      </c>
      <c r="G55" s="46">
        <v>4</v>
      </c>
      <c r="H55" s="46">
        <v>4</v>
      </c>
      <c r="I55" s="46">
        <f>H55-G55</f>
        <v>0</v>
      </c>
      <c r="J55" s="52" t="s">
        <v>139</v>
      </c>
      <c r="K55" s="35" t="s">
        <v>134</v>
      </c>
    </row>
    <row r="56" spans="1:11" s="48" customFormat="1" ht="60" x14ac:dyDescent="0.25">
      <c r="B56" s="43" t="s">
        <v>53</v>
      </c>
      <c r="C56" s="44" t="s">
        <v>122</v>
      </c>
      <c r="D56" s="43" t="s">
        <v>123</v>
      </c>
      <c r="E56" s="45" t="s">
        <v>48</v>
      </c>
      <c r="F56" s="45" t="s">
        <v>124</v>
      </c>
      <c r="G56" s="46">
        <v>4</v>
      </c>
      <c r="H56" s="46">
        <v>4</v>
      </c>
      <c r="I56" s="46">
        <f>H56-G56</f>
        <v>0</v>
      </c>
      <c r="J56" s="52" t="s">
        <v>139</v>
      </c>
      <c r="K56" s="35" t="s">
        <v>135</v>
      </c>
    </row>
    <row r="57" spans="1:11" s="48" customFormat="1" ht="409.2" customHeight="1" x14ac:dyDescent="0.25">
      <c r="A57" s="50">
        <v>45988</v>
      </c>
      <c r="B57" s="43" t="s">
        <v>53</v>
      </c>
      <c r="C57" s="44" t="s">
        <v>62</v>
      </c>
      <c r="D57" s="43" t="s">
        <v>62</v>
      </c>
      <c r="E57" s="45" t="s">
        <v>62</v>
      </c>
      <c r="F57" s="45" t="s">
        <v>75</v>
      </c>
      <c r="G57" s="46">
        <v>2</v>
      </c>
      <c r="H57" s="46">
        <v>2</v>
      </c>
      <c r="I57" s="46">
        <f>H57-G57</f>
        <v>0</v>
      </c>
      <c r="J57" s="49"/>
      <c r="K57" s="35" t="s">
        <v>140</v>
      </c>
    </row>
    <row r="58" spans="1:11" s="48" customFormat="1" ht="13.2" x14ac:dyDescent="0.25">
      <c r="B58" s="43" t="s">
        <v>53</v>
      </c>
      <c r="C58" s="44" t="s">
        <v>122</v>
      </c>
      <c r="D58" s="43" t="s">
        <v>123</v>
      </c>
      <c r="E58" s="45" t="s">
        <v>48</v>
      </c>
      <c r="F58" s="45" t="s">
        <v>124</v>
      </c>
      <c r="G58" s="46">
        <v>4</v>
      </c>
      <c r="H58" s="46">
        <v>4</v>
      </c>
      <c r="I58" s="46">
        <v>0</v>
      </c>
      <c r="J58" s="52" t="s">
        <v>139</v>
      </c>
      <c r="K58" s="35" t="s">
        <v>141</v>
      </c>
    </row>
    <row r="59" spans="1:11" s="48" customFormat="1" ht="13.2" x14ac:dyDescent="0.25">
      <c r="B59" s="43"/>
      <c r="C59" s="44" t="s">
        <v>16</v>
      </c>
      <c r="D59" s="43"/>
      <c r="E59" s="45"/>
      <c r="F59" s="45"/>
      <c r="G59" s="46"/>
      <c r="H59" s="46"/>
      <c r="I59" s="46">
        <f t="shared" ref="I58:I63" si="9">H59-G59</f>
        <v>0</v>
      </c>
      <c r="J59" s="49"/>
      <c r="K59" s="35"/>
    </row>
    <row r="60" spans="1:11" s="48" customFormat="1" ht="13.2" x14ac:dyDescent="0.25">
      <c r="B60" s="43"/>
      <c r="C60" s="44" t="s">
        <v>16</v>
      </c>
      <c r="D60" s="43"/>
      <c r="E60" s="45"/>
      <c r="F60" s="45"/>
      <c r="G60" s="46"/>
      <c r="H60" s="46"/>
      <c r="I60" s="46">
        <f t="shared" si="9"/>
        <v>0</v>
      </c>
      <c r="J60" s="49"/>
      <c r="K60" s="35"/>
    </row>
    <row r="61" spans="1:11" s="48" customFormat="1" ht="13.2" x14ac:dyDescent="0.25">
      <c r="A61" s="50">
        <v>45989</v>
      </c>
      <c r="B61" s="43"/>
      <c r="C61" s="44" t="s">
        <v>16</v>
      </c>
      <c r="D61" s="43"/>
      <c r="E61" s="45"/>
      <c r="F61" s="45"/>
      <c r="G61" s="46"/>
      <c r="H61" s="46"/>
      <c r="I61" s="46">
        <f t="shared" si="9"/>
        <v>0</v>
      </c>
      <c r="J61" s="49"/>
      <c r="K61" s="35"/>
    </row>
    <row r="62" spans="1:11" s="48" customFormat="1" ht="13.2" x14ac:dyDescent="0.25">
      <c r="A62" s="42"/>
      <c r="B62" s="43"/>
      <c r="C62" s="44" t="s">
        <v>16</v>
      </c>
      <c r="D62" s="43"/>
      <c r="E62" s="45"/>
      <c r="F62" s="45"/>
      <c r="G62" s="46"/>
      <c r="H62" s="46"/>
      <c r="I62" s="46">
        <f t="shared" si="9"/>
        <v>0</v>
      </c>
      <c r="J62" s="49"/>
      <c r="K62" s="35"/>
    </row>
    <row r="63" spans="1:11" s="48" customFormat="1" ht="13.2" x14ac:dyDescent="0.25">
      <c r="A63" s="42"/>
      <c r="B63" s="43"/>
      <c r="C63" s="44" t="s">
        <v>16</v>
      </c>
      <c r="D63" s="43"/>
      <c r="E63" s="45"/>
      <c r="F63" s="45"/>
      <c r="G63" s="46"/>
      <c r="H63" s="46"/>
      <c r="I63" s="46">
        <f t="shared" si="9"/>
        <v>0</v>
      </c>
      <c r="J63" s="49"/>
      <c r="K63" s="35"/>
    </row>
    <row r="64" spans="1:11" s="48" customFormat="1" ht="13.2" x14ac:dyDescent="0.25">
      <c r="A64" s="42"/>
      <c r="B64" s="43"/>
      <c r="C64" s="44" t="s">
        <v>16</v>
      </c>
      <c r="D64" s="43"/>
      <c r="E64" s="45"/>
      <c r="F64" s="45"/>
      <c r="G64" s="46"/>
      <c r="H64" s="46"/>
      <c r="I64" s="46">
        <f t="shared" ref="I64:I69" si="10">H64-G64</f>
        <v>0</v>
      </c>
      <c r="J64" s="49"/>
      <c r="K64" s="35"/>
    </row>
    <row r="65" spans="1:11" s="48" customFormat="1" ht="13.2" x14ac:dyDescent="0.25">
      <c r="A65" s="42"/>
      <c r="B65" s="43"/>
      <c r="C65" s="44" t="s">
        <v>16</v>
      </c>
      <c r="D65" s="43"/>
      <c r="E65" s="45"/>
      <c r="F65" s="45"/>
      <c r="G65" s="46"/>
      <c r="H65" s="46"/>
      <c r="I65" s="46">
        <f t="shared" si="10"/>
        <v>0</v>
      </c>
      <c r="J65" s="49"/>
      <c r="K65" s="35"/>
    </row>
    <row r="66" spans="1:11" s="48" customFormat="1" ht="13.2" x14ac:dyDescent="0.25">
      <c r="A66" s="42"/>
      <c r="B66" s="43"/>
      <c r="C66" s="44" t="s">
        <v>16</v>
      </c>
      <c r="D66" s="43"/>
      <c r="E66" s="45"/>
      <c r="F66" s="45"/>
      <c r="G66" s="46"/>
      <c r="H66" s="46"/>
      <c r="I66" s="46">
        <f t="shared" si="10"/>
        <v>0</v>
      </c>
      <c r="J66" s="49"/>
      <c r="K66" s="35"/>
    </row>
    <row r="67" spans="1:11" s="48" customFormat="1" ht="13.2" x14ac:dyDescent="0.25">
      <c r="B67" s="43"/>
      <c r="C67" s="44" t="s">
        <v>16</v>
      </c>
      <c r="D67" s="43"/>
      <c r="E67" s="45"/>
      <c r="F67" s="45"/>
      <c r="G67" s="46"/>
      <c r="H67" s="46"/>
      <c r="I67" s="46">
        <f t="shared" si="10"/>
        <v>0</v>
      </c>
      <c r="J67" s="49"/>
      <c r="K67" s="35"/>
    </row>
    <row r="68" spans="1:11" s="48" customFormat="1" ht="13.2" x14ac:dyDescent="0.25">
      <c r="B68" s="43"/>
      <c r="C68" s="44" t="s">
        <v>16</v>
      </c>
      <c r="D68" s="43"/>
      <c r="E68" s="45"/>
      <c r="F68" s="45"/>
      <c r="G68" s="46"/>
      <c r="H68" s="46"/>
      <c r="I68" s="46">
        <f t="shared" si="10"/>
        <v>0</v>
      </c>
      <c r="J68" s="49"/>
      <c r="K68" s="35"/>
    </row>
    <row r="69" spans="1:11" s="48" customFormat="1" ht="13.2" x14ac:dyDescent="0.25">
      <c r="B69" s="43"/>
      <c r="C69" s="44" t="s">
        <v>16</v>
      </c>
      <c r="D69" s="43"/>
      <c r="E69" s="45"/>
      <c r="F69" s="45"/>
      <c r="G69" s="46"/>
      <c r="H69" s="46"/>
      <c r="I69" s="46">
        <f t="shared" si="10"/>
        <v>0</v>
      </c>
      <c r="J69" s="49"/>
      <c r="K69" s="35"/>
    </row>
    <row r="70" spans="1:11" s="48" customFormat="1" ht="13.2" x14ac:dyDescent="0.25">
      <c r="A70" s="42"/>
      <c r="B70" s="43"/>
      <c r="C70" s="44" t="s">
        <v>16</v>
      </c>
      <c r="D70" s="43"/>
      <c r="E70" s="45"/>
      <c r="F70" s="45"/>
      <c r="G70" s="46"/>
      <c r="H70" s="46"/>
      <c r="I70" s="46">
        <f t="shared" ref="I70:I85" si="11">H70-G70</f>
        <v>0</v>
      </c>
      <c r="J70" s="49"/>
      <c r="K70" s="35"/>
    </row>
    <row r="71" spans="1:11" s="48" customFormat="1" ht="13.2" x14ac:dyDescent="0.25">
      <c r="A71" s="42"/>
      <c r="B71" s="43"/>
      <c r="C71" s="44" t="s">
        <v>16</v>
      </c>
      <c r="D71" s="43"/>
      <c r="E71" s="45"/>
      <c r="F71" s="45"/>
      <c r="G71" s="46"/>
      <c r="H71" s="46"/>
      <c r="I71" s="46">
        <f t="shared" si="11"/>
        <v>0</v>
      </c>
      <c r="J71" s="49"/>
      <c r="K71" s="35"/>
    </row>
    <row r="72" spans="1:11" s="48" customFormat="1" ht="13.2" x14ac:dyDescent="0.25">
      <c r="A72" s="42"/>
      <c r="B72" s="43"/>
      <c r="C72" s="44" t="s">
        <v>16</v>
      </c>
      <c r="D72" s="43"/>
      <c r="E72" s="45"/>
      <c r="F72" s="45"/>
      <c r="G72" s="46"/>
      <c r="H72" s="46"/>
      <c r="I72" s="46">
        <f t="shared" si="11"/>
        <v>0</v>
      </c>
      <c r="J72" s="49"/>
      <c r="K72" s="35"/>
    </row>
    <row r="73" spans="1:11" s="48" customFormat="1" ht="13.2" x14ac:dyDescent="0.25">
      <c r="A73" s="42"/>
      <c r="B73" s="43"/>
      <c r="C73" s="44" t="s">
        <v>16</v>
      </c>
      <c r="D73" s="43"/>
      <c r="E73" s="45"/>
      <c r="F73" s="45"/>
      <c r="G73" s="46"/>
      <c r="H73" s="46"/>
      <c r="I73" s="46">
        <f t="shared" si="11"/>
        <v>0</v>
      </c>
      <c r="J73" s="49"/>
      <c r="K73" s="35"/>
    </row>
    <row r="74" spans="1:11" s="48" customFormat="1" ht="13.2" x14ac:dyDescent="0.25">
      <c r="A74" s="42"/>
      <c r="B74" s="43"/>
      <c r="C74" s="44" t="s">
        <v>16</v>
      </c>
      <c r="D74" s="43"/>
      <c r="E74" s="45"/>
      <c r="F74" s="45"/>
      <c r="G74" s="46"/>
      <c r="H74" s="46"/>
      <c r="I74" s="46">
        <f t="shared" si="11"/>
        <v>0</v>
      </c>
      <c r="J74" s="49"/>
      <c r="K74" s="35"/>
    </row>
    <row r="75" spans="1:11" s="48" customFormat="1" ht="13.2" x14ac:dyDescent="0.25">
      <c r="A75" s="42"/>
      <c r="B75" s="43"/>
      <c r="C75" s="44" t="s">
        <v>16</v>
      </c>
      <c r="D75" s="43"/>
      <c r="E75" s="45"/>
      <c r="F75" s="45"/>
      <c r="G75" s="46"/>
      <c r="H75" s="46"/>
      <c r="I75" s="46">
        <f t="shared" si="11"/>
        <v>0</v>
      </c>
      <c r="J75" s="49"/>
      <c r="K75" s="35"/>
    </row>
    <row r="76" spans="1:11" s="48" customFormat="1" ht="13.2" x14ac:dyDescent="0.25">
      <c r="A76" s="42"/>
      <c r="B76" s="43"/>
      <c r="C76" s="44" t="s">
        <v>16</v>
      </c>
      <c r="D76" s="43"/>
      <c r="E76" s="45"/>
      <c r="F76" s="45"/>
      <c r="G76" s="46"/>
      <c r="H76" s="46"/>
      <c r="I76" s="46">
        <f t="shared" ref="I76:I82" si="12">H76-G76</f>
        <v>0</v>
      </c>
      <c r="J76" s="49"/>
      <c r="K76" s="35"/>
    </row>
    <row r="77" spans="1:11" s="48" customFormat="1" ht="13.2" x14ac:dyDescent="0.25">
      <c r="A77" s="42"/>
      <c r="B77" s="43"/>
      <c r="C77" s="44" t="s">
        <v>16</v>
      </c>
      <c r="D77" s="43"/>
      <c r="E77" s="45"/>
      <c r="F77" s="45"/>
      <c r="G77" s="46"/>
      <c r="H77" s="46"/>
      <c r="I77" s="46">
        <f t="shared" si="12"/>
        <v>0</v>
      </c>
      <c r="J77" s="49"/>
      <c r="K77" s="35"/>
    </row>
    <row r="78" spans="1:11" s="48" customFormat="1" ht="13.2" x14ac:dyDescent="0.25">
      <c r="A78" s="42"/>
      <c r="B78" s="43"/>
      <c r="C78" s="44" t="s">
        <v>16</v>
      </c>
      <c r="D78" s="43"/>
      <c r="E78" s="45"/>
      <c r="F78" s="45"/>
      <c r="G78" s="46"/>
      <c r="H78" s="46"/>
      <c r="I78" s="46">
        <f t="shared" si="12"/>
        <v>0</v>
      </c>
      <c r="J78" s="49"/>
      <c r="K78" s="35"/>
    </row>
    <row r="79" spans="1:11" s="48" customFormat="1" ht="13.2" x14ac:dyDescent="0.25">
      <c r="A79" s="42"/>
      <c r="B79" s="43"/>
      <c r="C79" s="44" t="s">
        <v>16</v>
      </c>
      <c r="D79" s="43"/>
      <c r="E79" s="45"/>
      <c r="F79" s="45"/>
      <c r="G79" s="46"/>
      <c r="H79" s="46"/>
      <c r="I79" s="46">
        <f t="shared" si="12"/>
        <v>0</v>
      </c>
      <c r="J79" s="49"/>
      <c r="K79" s="35"/>
    </row>
    <row r="80" spans="1:11" s="48" customFormat="1" ht="13.2" x14ac:dyDescent="0.25">
      <c r="A80" s="42"/>
      <c r="B80" s="43"/>
      <c r="C80" s="44" t="s">
        <v>16</v>
      </c>
      <c r="D80" s="43"/>
      <c r="E80" s="45"/>
      <c r="F80" s="45"/>
      <c r="G80" s="46"/>
      <c r="H80" s="46"/>
      <c r="I80" s="46">
        <f t="shared" si="12"/>
        <v>0</v>
      </c>
      <c r="J80" s="49"/>
      <c r="K80" s="35"/>
    </row>
    <row r="81" spans="1:11" s="48" customFormat="1" ht="13.2" x14ac:dyDescent="0.25">
      <c r="A81" s="42"/>
      <c r="B81" s="43"/>
      <c r="C81" s="44" t="s">
        <v>16</v>
      </c>
      <c r="D81" s="43"/>
      <c r="E81" s="45"/>
      <c r="F81" s="45"/>
      <c r="G81" s="46"/>
      <c r="H81" s="46"/>
      <c r="I81" s="46">
        <f t="shared" si="12"/>
        <v>0</v>
      </c>
      <c r="J81" s="49"/>
      <c r="K81" s="35"/>
    </row>
    <row r="82" spans="1:11" s="48" customFormat="1" ht="13.2" x14ac:dyDescent="0.25">
      <c r="A82" s="42"/>
      <c r="B82" s="43"/>
      <c r="C82" s="44" t="s">
        <v>16</v>
      </c>
      <c r="D82" s="43"/>
      <c r="E82" s="45"/>
      <c r="F82" s="45"/>
      <c r="G82" s="46"/>
      <c r="H82" s="46"/>
      <c r="I82" s="46">
        <f t="shared" si="12"/>
        <v>0</v>
      </c>
      <c r="J82" s="49"/>
      <c r="K82" s="35"/>
    </row>
    <row r="83" spans="1:11" s="48" customFormat="1" ht="13.2" x14ac:dyDescent="0.25">
      <c r="A83" s="42"/>
      <c r="B83" s="43"/>
      <c r="C83" s="44" t="s">
        <v>16</v>
      </c>
      <c r="D83" s="43"/>
      <c r="E83" s="45"/>
      <c r="F83" s="45"/>
      <c r="G83" s="46"/>
      <c r="H83" s="46"/>
      <c r="I83" s="46">
        <f t="shared" si="11"/>
        <v>0</v>
      </c>
      <c r="J83" s="49"/>
      <c r="K83" s="35"/>
    </row>
    <row r="84" spans="1:11" s="48" customFormat="1" ht="13.2" x14ac:dyDescent="0.25">
      <c r="A84" s="42"/>
      <c r="B84" s="43"/>
      <c r="C84" s="44" t="s">
        <v>16</v>
      </c>
      <c r="D84" s="43"/>
      <c r="E84" s="45"/>
      <c r="F84" s="45"/>
      <c r="G84" s="46"/>
      <c r="H84" s="46"/>
      <c r="I84" s="46">
        <f t="shared" si="11"/>
        <v>0</v>
      </c>
      <c r="J84" s="49"/>
      <c r="K84" s="35"/>
    </row>
    <row r="85" spans="1:11" ht="13.2" x14ac:dyDescent="0.25">
      <c r="A85" s="13"/>
      <c r="B85" s="15"/>
      <c r="C85" s="15"/>
      <c r="D85" s="15"/>
      <c r="E85" s="15" t="s">
        <v>17</v>
      </c>
      <c r="F85" s="15"/>
      <c r="G85" s="18">
        <f>SUM(G45:G84)</f>
        <v>28.75</v>
      </c>
      <c r="H85" s="18">
        <f>SUM(H45:H84)</f>
        <v>28.75</v>
      </c>
      <c r="I85" s="18">
        <f t="shared" si="11"/>
        <v>0</v>
      </c>
      <c r="J85" s="19"/>
      <c r="K85" s="36"/>
    </row>
    <row r="86" spans="1:11" ht="18.75" customHeight="1" x14ac:dyDescent="0.25">
      <c r="A86" s="57" t="s">
        <v>21</v>
      </c>
      <c r="B86" s="54"/>
      <c r="C86" s="54"/>
      <c r="D86" s="54"/>
      <c r="E86" s="54"/>
      <c r="F86" s="54"/>
      <c r="G86" s="54"/>
      <c r="H86" s="54"/>
      <c r="I86" s="54"/>
      <c r="J86" s="54"/>
      <c r="K86" s="55"/>
    </row>
    <row r="87" spans="1:11" ht="13.2" x14ac:dyDescent="0.25">
      <c r="A87" s="23" t="s">
        <v>12</v>
      </c>
      <c r="B87" s="58" t="s">
        <v>13</v>
      </c>
      <c r="C87" s="54"/>
      <c r="D87" s="54"/>
      <c r="E87" s="54"/>
      <c r="F87" s="54"/>
      <c r="G87" s="54"/>
      <c r="H87" s="54"/>
      <c r="I87" s="54"/>
      <c r="J87" s="54"/>
      <c r="K87" s="55"/>
    </row>
    <row r="88" spans="1:11" ht="27.75" customHeight="1" x14ac:dyDescent="0.25">
      <c r="A88" s="24" t="s">
        <v>14</v>
      </c>
      <c r="B88" s="58" t="s">
        <v>15</v>
      </c>
      <c r="C88" s="54"/>
      <c r="D88" s="54"/>
      <c r="E88" s="54"/>
      <c r="F88" s="54"/>
      <c r="G88" s="54"/>
      <c r="H88" s="54"/>
      <c r="I88" s="54"/>
      <c r="J88" s="54"/>
      <c r="K88" s="55"/>
    </row>
    <row r="89" spans="1:11" s="48" customFormat="1" ht="13.2" x14ac:dyDescent="0.25">
      <c r="A89" s="42"/>
      <c r="B89" s="43"/>
      <c r="C89" s="44" t="s">
        <v>16</v>
      </c>
      <c r="D89" s="43"/>
      <c r="E89" s="45"/>
      <c r="F89" s="45"/>
      <c r="G89" s="46"/>
      <c r="H89" s="46"/>
      <c r="I89" s="46">
        <f t="shared" ref="I89:I107" si="13">H89-G89</f>
        <v>0</v>
      </c>
      <c r="J89" s="49"/>
      <c r="K89" s="35"/>
    </row>
    <row r="90" spans="1:11" s="48" customFormat="1" ht="13.2" x14ac:dyDescent="0.25">
      <c r="A90" s="42"/>
      <c r="B90" s="43"/>
      <c r="C90" s="44" t="s">
        <v>16</v>
      </c>
      <c r="D90" s="43"/>
      <c r="E90" s="45"/>
      <c r="F90" s="45"/>
      <c r="G90" s="46"/>
      <c r="H90" s="46"/>
      <c r="I90" s="46">
        <f t="shared" si="13"/>
        <v>0</v>
      </c>
      <c r="J90" s="49"/>
      <c r="K90" s="35"/>
    </row>
    <row r="91" spans="1:11" s="48" customFormat="1" ht="13.2" x14ac:dyDescent="0.25">
      <c r="A91" s="42"/>
      <c r="B91" s="43"/>
      <c r="C91" s="44" t="s">
        <v>16</v>
      </c>
      <c r="D91" s="43"/>
      <c r="E91" s="45"/>
      <c r="F91" s="45"/>
      <c r="G91" s="46"/>
      <c r="H91" s="46"/>
      <c r="I91" s="46">
        <f t="shared" si="13"/>
        <v>0</v>
      </c>
      <c r="J91" s="49"/>
      <c r="K91" s="35"/>
    </row>
    <row r="92" spans="1:11" s="48" customFormat="1" ht="13.2" x14ac:dyDescent="0.25">
      <c r="A92" s="42"/>
      <c r="B92" s="43"/>
      <c r="C92" s="44" t="s">
        <v>16</v>
      </c>
      <c r="D92" s="43"/>
      <c r="E92" s="45"/>
      <c r="F92" s="45"/>
      <c r="G92" s="46"/>
      <c r="H92" s="46"/>
      <c r="I92" s="46">
        <f t="shared" si="13"/>
        <v>0</v>
      </c>
      <c r="J92" s="49"/>
      <c r="K92" s="35"/>
    </row>
    <row r="93" spans="1:11" s="48" customFormat="1" ht="13.2" x14ac:dyDescent="0.25">
      <c r="A93" s="42"/>
      <c r="B93" s="43"/>
      <c r="C93" s="44" t="s">
        <v>16</v>
      </c>
      <c r="D93" s="43"/>
      <c r="E93" s="45"/>
      <c r="F93" s="45"/>
      <c r="G93" s="46"/>
      <c r="H93" s="46"/>
      <c r="I93" s="46">
        <f t="shared" si="13"/>
        <v>0</v>
      </c>
      <c r="J93" s="49"/>
      <c r="K93" s="35"/>
    </row>
    <row r="94" spans="1:11" s="48" customFormat="1" ht="13.2" x14ac:dyDescent="0.25">
      <c r="A94" s="42"/>
      <c r="B94" s="43"/>
      <c r="C94" s="44" t="s">
        <v>16</v>
      </c>
      <c r="D94" s="43"/>
      <c r="E94" s="45"/>
      <c r="F94" s="45"/>
      <c r="G94" s="46"/>
      <c r="H94" s="46"/>
      <c r="I94" s="46">
        <f t="shared" si="13"/>
        <v>0</v>
      </c>
      <c r="J94" s="49"/>
      <c r="K94" s="35"/>
    </row>
    <row r="95" spans="1:11" s="48" customFormat="1" ht="13.2" x14ac:dyDescent="0.25">
      <c r="A95" s="42"/>
      <c r="B95" s="43"/>
      <c r="C95" s="44" t="s">
        <v>16</v>
      </c>
      <c r="D95" s="43"/>
      <c r="E95" s="45"/>
      <c r="F95" s="45"/>
      <c r="G95" s="46"/>
      <c r="H95" s="46"/>
      <c r="I95" s="46">
        <f t="shared" si="13"/>
        <v>0</v>
      </c>
      <c r="J95" s="49"/>
      <c r="K95" s="35"/>
    </row>
    <row r="96" spans="1:11" s="48" customFormat="1" ht="13.2" x14ac:dyDescent="0.25">
      <c r="A96" s="42"/>
      <c r="B96" s="43"/>
      <c r="C96" s="44" t="s">
        <v>16</v>
      </c>
      <c r="D96" s="43"/>
      <c r="E96" s="45"/>
      <c r="F96" s="45"/>
      <c r="G96" s="46"/>
      <c r="H96" s="46"/>
      <c r="I96" s="46">
        <f t="shared" si="13"/>
        <v>0</v>
      </c>
      <c r="J96" s="49"/>
      <c r="K96" s="35"/>
    </row>
    <row r="97" spans="1:11" s="48" customFormat="1" ht="13.2" x14ac:dyDescent="0.25">
      <c r="A97" s="42"/>
      <c r="B97" s="43"/>
      <c r="C97" s="44" t="s">
        <v>16</v>
      </c>
      <c r="D97" s="43"/>
      <c r="E97" s="45"/>
      <c r="F97" s="45"/>
      <c r="G97" s="46"/>
      <c r="H97" s="46"/>
      <c r="I97" s="46">
        <f t="shared" ref="I97:I104" si="14">H97-G97</f>
        <v>0</v>
      </c>
      <c r="J97" s="49"/>
      <c r="K97" s="35"/>
    </row>
    <row r="98" spans="1:11" s="48" customFormat="1" ht="13.2" x14ac:dyDescent="0.25">
      <c r="A98" s="42"/>
      <c r="B98" s="43"/>
      <c r="C98" s="44" t="s">
        <v>16</v>
      </c>
      <c r="D98" s="43"/>
      <c r="E98" s="45"/>
      <c r="F98" s="45"/>
      <c r="G98" s="46"/>
      <c r="H98" s="46"/>
      <c r="I98" s="46">
        <f t="shared" si="14"/>
        <v>0</v>
      </c>
      <c r="J98" s="49"/>
      <c r="K98" s="35"/>
    </row>
    <row r="99" spans="1:11" s="48" customFormat="1" ht="13.2" x14ac:dyDescent="0.25">
      <c r="A99" s="42"/>
      <c r="B99" s="43"/>
      <c r="C99" s="44" t="s">
        <v>16</v>
      </c>
      <c r="D99" s="43"/>
      <c r="E99" s="45"/>
      <c r="F99" s="45"/>
      <c r="G99" s="46"/>
      <c r="H99" s="46"/>
      <c r="I99" s="46">
        <f t="shared" si="14"/>
        <v>0</v>
      </c>
      <c r="J99" s="49"/>
      <c r="K99" s="35"/>
    </row>
    <row r="100" spans="1:11" s="48" customFormat="1" ht="13.2" x14ac:dyDescent="0.25">
      <c r="A100" s="42"/>
      <c r="B100" s="43"/>
      <c r="C100" s="44" t="s">
        <v>16</v>
      </c>
      <c r="D100" s="43"/>
      <c r="E100" s="45"/>
      <c r="F100" s="45"/>
      <c r="G100" s="46"/>
      <c r="H100" s="46"/>
      <c r="I100" s="46">
        <f t="shared" si="14"/>
        <v>0</v>
      </c>
      <c r="J100" s="49"/>
      <c r="K100" s="35"/>
    </row>
    <row r="101" spans="1:11" s="48" customFormat="1" ht="13.2" x14ac:dyDescent="0.25">
      <c r="A101" s="42"/>
      <c r="B101" s="43"/>
      <c r="C101" s="44" t="s">
        <v>16</v>
      </c>
      <c r="D101" s="43"/>
      <c r="E101" s="45"/>
      <c r="F101" s="45"/>
      <c r="G101" s="46"/>
      <c r="H101" s="46"/>
      <c r="I101" s="46">
        <f t="shared" si="14"/>
        <v>0</v>
      </c>
      <c r="J101" s="49"/>
      <c r="K101" s="35"/>
    </row>
    <row r="102" spans="1:11" s="48" customFormat="1" ht="13.2" x14ac:dyDescent="0.25">
      <c r="A102" s="42"/>
      <c r="B102" s="43"/>
      <c r="C102" s="44" t="s">
        <v>16</v>
      </c>
      <c r="D102" s="43"/>
      <c r="E102" s="45"/>
      <c r="F102" s="45"/>
      <c r="G102" s="46"/>
      <c r="H102" s="46"/>
      <c r="I102" s="46">
        <f t="shared" si="14"/>
        <v>0</v>
      </c>
      <c r="J102" s="49"/>
      <c r="K102" s="35"/>
    </row>
    <row r="103" spans="1:11" s="48" customFormat="1" ht="13.2" x14ac:dyDescent="0.25">
      <c r="A103" s="42"/>
      <c r="B103" s="43"/>
      <c r="C103" s="44" t="s">
        <v>16</v>
      </c>
      <c r="D103" s="43"/>
      <c r="E103" s="45"/>
      <c r="F103" s="45"/>
      <c r="G103" s="46"/>
      <c r="H103" s="46"/>
      <c r="I103" s="46">
        <f t="shared" si="14"/>
        <v>0</v>
      </c>
      <c r="J103" s="49"/>
      <c r="K103" s="35"/>
    </row>
    <row r="104" spans="1:11" s="48" customFormat="1" ht="13.2" x14ac:dyDescent="0.25">
      <c r="A104" s="42"/>
      <c r="B104" s="43"/>
      <c r="C104" s="44" t="s">
        <v>16</v>
      </c>
      <c r="D104" s="43"/>
      <c r="E104" s="45"/>
      <c r="F104" s="45"/>
      <c r="G104" s="46"/>
      <c r="H104" s="46"/>
      <c r="I104" s="46">
        <f t="shared" si="14"/>
        <v>0</v>
      </c>
      <c r="J104" s="49"/>
      <c r="K104" s="35"/>
    </row>
    <row r="105" spans="1:11" s="48" customFormat="1" ht="13.2" x14ac:dyDescent="0.25">
      <c r="A105" s="42"/>
      <c r="B105" s="43"/>
      <c r="C105" s="44" t="s">
        <v>16</v>
      </c>
      <c r="D105" s="43"/>
      <c r="E105" s="45"/>
      <c r="F105" s="45"/>
      <c r="G105" s="46"/>
      <c r="H105" s="46"/>
      <c r="I105" s="46">
        <f t="shared" si="13"/>
        <v>0</v>
      </c>
      <c r="J105" s="49"/>
      <c r="K105" s="35"/>
    </row>
    <row r="106" spans="1:11" s="48" customFormat="1" ht="13.2" x14ac:dyDescent="0.25">
      <c r="A106" s="42"/>
      <c r="B106" s="43"/>
      <c r="C106" s="44" t="s">
        <v>16</v>
      </c>
      <c r="D106" s="43"/>
      <c r="E106" s="45"/>
      <c r="F106" s="45"/>
      <c r="G106" s="46"/>
      <c r="H106" s="46"/>
      <c r="I106" s="46">
        <f t="shared" si="13"/>
        <v>0</v>
      </c>
      <c r="J106" s="49"/>
      <c r="K106" s="35"/>
    </row>
    <row r="107" spans="1:11" ht="13.2" x14ac:dyDescent="0.25">
      <c r="A107" s="13"/>
      <c r="B107" s="15"/>
      <c r="C107" s="15"/>
      <c r="D107" s="15"/>
      <c r="E107" s="15" t="s">
        <v>17</v>
      </c>
      <c r="F107" s="15"/>
      <c r="G107" s="18">
        <f t="shared" ref="G107:H107" si="15">SUM(G89:G106)</f>
        <v>0</v>
      </c>
      <c r="H107" s="18">
        <f t="shared" si="15"/>
        <v>0</v>
      </c>
      <c r="I107" s="18">
        <f t="shared" si="13"/>
        <v>0</v>
      </c>
      <c r="J107" s="19"/>
      <c r="K107" s="36"/>
    </row>
    <row r="108" spans="1:11" ht="18.75" customHeight="1" x14ac:dyDescent="0.25">
      <c r="A108" s="59" t="s">
        <v>22</v>
      </c>
      <c r="B108" s="54"/>
      <c r="C108" s="54"/>
      <c r="D108" s="54"/>
      <c r="E108" s="54"/>
      <c r="F108" s="54"/>
      <c r="G108" s="54"/>
      <c r="H108" s="54"/>
      <c r="I108" s="54"/>
      <c r="J108" s="54"/>
      <c r="K108" s="55"/>
    </row>
    <row r="109" spans="1:11" ht="13.2" x14ac:dyDescent="0.25">
      <c r="A109" s="25" t="s">
        <v>12</v>
      </c>
      <c r="B109" s="53" t="s">
        <v>13</v>
      </c>
      <c r="C109" s="54"/>
      <c r="D109" s="54"/>
      <c r="E109" s="54"/>
      <c r="F109" s="54"/>
      <c r="G109" s="54"/>
      <c r="H109" s="54"/>
      <c r="I109" s="54"/>
      <c r="J109" s="54"/>
      <c r="K109" s="55"/>
    </row>
    <row r="110" spans="1:11" ht="27.75" customHeight="1" x14ac:dyDescent="0.25">
      <c r="A110" s="26" t="s">
        <v>14</v>
      </c>
      <c r="B110" s="53" t="s">
        <v>15</v>
      </c>
      <c r="C110" s="54"/>
      <c r="D110" s="54"/>
      <c r="E110" s="54"/>
      <c r="F110" s="54"/>
      <c r="G110" s="54"/>
      <c r="H110" s="54"/>
      <c r="I110" s="54"/>
      <c r="J110" s="54"/>
      <c r="K110" s="55"/>
    </row>
    <row r="111" spans="1:11" s="48" customFormat="1" ht="13.2" x14ac:dyDescent="0.25">
      <c r="A111" s="42"/>
      <c r="B111" s="43"/>
      <c r="C111" s="44" t="s">
        <v>16</v>
      </c>
      <c r="D111" s="43"/>
      <c r="E111" s="45"/>
      <c r="F111" s="45"/>
      <c r="G111" s="46"/>
      <c r="H111" s="46"/>
      <c r="I111" s="46">
        <f t="shared" ref="I111:I129" si="16">H111-G111</f>
        <v>0</v>
      </c>
      <c r="J111" s="49"/>
      <c r="K111" s="35"/>
    </row>
    <row r="112" spans="1:11" s="48" customFormat="1" ht="13.2" x14ac:dyDescent="0.25">
      <c r="A112" s="42"/>
      <c r="B112" s="43"/>
      <c r="C112" s="44" t="s">
        <v>16</v>
      </c>
      <c r="D112" s="43"/>
      <c r="E112" s="45"/>
      <c r="F112" s="45"/>
      <c r="G112" s="46"/>
      <c r="H112" s="46"/>
      <c r="I112" s="46">
        <f t="shared" si="16"/>
        <v>0</v>
      </c>
      <c r="J112" s="49"/>
      <c r="K112" s="35"/>
    </row>
    <row r="113" spans="1:11" s="48" customFormat="1" ht="13.2" x14ac:dyDescent="0.25">
      <c r="A113" s="42"/>
      <c r="B113" s="43"/>
      <c r="C113" s="44" t="s">
        <v>16</v>
      </c>
      <c r="D113" s="43"/>
      <c r="E113" s="45"/>
      <c r="F113" s="45"/>
      <c r="G113" s="46"/>
      <c r="H113" s="46"/>
      <c r="I113" s="46">
        <f t="shared" si="16"/>
        <v>0</v>
      </c>
      <c r="J113" s="49"/>
      <c r="K113" s="35"/>
    </row>
    <row r="114" spans="1:11" s="48" customFormat="1" ht="13.2" x14ac:dyDescent="0.25">
      <c r="A114" s="42"/>
      <c r="B114" s="43"/>
      <c r="C114" s="44" t="s">
        <v>16</v>
      </c>
      <c r="D114" s="43"/>
      <c r="E114" s="45"/>
      <c r="F114" s="45"/>
      <c r="G114" s="46"/>
      <c r="H114" s="46"/>
      <c r="I114" s="46">
        <f t="shared" si="16"/>
        <v>0</v>
      </c>
      <c r="J114" s="49"/>
      <c r="K114" s="35"/>
    </row>
    <row r="115" spans="1:11" s="48" customFormat="1" ht="13.2" x14ac:dyDescent="0.25">
      <c r="A115" s="42"/>
      <c r="B115" s="43"/>
      <c r="C115" s="44" t="s">
        <v>16</v>
      </c>
      <c r="D115" s="43"/>
      <c r="E115" s="45"/>
      <c r="F115" s="45"/>
      <c r="G115" s="46"/>
      <c r="H115" s="46"/>
      <c r="I115" s="46">
        <f t="shared" si="16"/>
        <v>0</v>
      </c>
      <c r="J115" s="49"/>
      <c r="K115" s="35"/>
    </row>
    <row r="116" spans="1:11" s="48" customFormat="1" ht="13.2" x14ac:dyDescent="0.25">
      <c r="A116" s="42"/>
      <c r="B116" s="43"/>
      <c r="C116" s="44" t="s">
        <v>16</v>
      </c>
      <c r="D116" s="43"/>
      <c r="E116" s="45"/>
      <c r="F116" s="45"/>
      <c r="G116" s="46"/>
      <c r="H116" s="46"/>
      <c r="I116" s="46">
        <f t="shared" si="16"/>
        <v>0</v>
      </c>
      <c r="J116" s="49"/>
      <c r="K116" s="35"/>
    </row>
    <row r="117" spans="1:11" s="48" customFormat="1" ht="13.2" x14ac:dyDescent="0.25">
      <c r="A117" s="42"/>
      <c r="B117" s="43"/>
      <c r="C117" s="44" t="s">
        <v>16</v>
      </c>
      <c r="D117" s="43"/>
      <c r="E117" s="45"/>
      <c r="F117" s="45"/>
      <c r="G117" s="46"/>
      <c r="H117" s="46"/>
      <c r="I117" s="46">
        <f t="shared" si="16"/>
        <v>0</v>
      </c>
      <c r="J117" s="49"/>
      <c r="K117" s="35"/>
    </row>
    <row r="118" spans="1:11" s="48" customFormat="1" ht="13.2" x14ac:dyDescent="0.25">
      <c r="A118" s="42"/>
      <c r="B118" s="43"/>
      <c r="C118" s="44" t="s">
        <v>16</v>
      </c>
      <c r="D118" s="43"/>
      <c r="E118" s="45"/>
      <c r="F118" s="45"/>
      <c r="G118" s="46"/>
      <c r="H118" s="46"/>
      <c r="I118" s="46">
        <f t="shared" si="16"/>
        <v>0</v>
      </c>
      <c r="J118" s="49"/>
      <c r="K118" s="35"/>
    </row>
    <row r="119" spans="1:11" s="48" customFormat="1" ht="13.2" x14ac:dyDescent="0.25">
      <c r="A119" s="42"/>
      <c r="B119" s="43"/>
      <c r="C119" s="44" t="s">
        <v>16</v>
      </c>
      <c r="D119" s="43"/>
      <c r="E119" s="45"/>
      <c r="F119" s="45"/>
      <c r="G119" s="46"/>
      <c r="H119" s="46"/>
      <c r="I119" s="46">
        <f t="shared" ref="I119:I126" si="17">H119-G119</f>
        <v>0</v>
      </c>
      <c r="J119" s="49"/>
      <c r="K119" s="35"/>
    </row>
    <row r="120" spans="1:11" s="48" customFormat="1" ht="13.2" x14ac:dyDescent="0.25">
      <c r="A120" s="42"/>
      <c r="B120" s="43"/>
      <c r="C120" s="44" t="s">
        <v>16</v>
      </c>
      <c r="D120" s="43"/>
      <c r="E120" s="45"/>
      <c r="F120" s="45"/>
      <c r="G120" s="46"/>
      <c r="H120" s="46"/>
      <c r="I120" s="46">
        <f t="shared" si="17"/>
        <v>0</v>
      </c>
      <c r="J120" s="49"/>
      <c r="K120" s="35"/>
    </row>
    <row r="121" spans="1:11" s="48" customFormat="1" ht="13.2" x14ac:dyDescent="0.25">
      <c r="A121" s="42"/>
      <c r="B121" s="43"/>
      <c r="C121" s="44" t="s">
        <v>16</v>
      </c>
      <c r="D121" s="43"/>
      <c r="E121" s="45"/>
      <c r="F121" s="45"/>
      <c r="G121" s="46"/>
      <c r="H121" s="46"/>
      <c r="I121" s="46">
        <f t="shared" si="17"/>
        <v>0</v>
      </c>
      <c r="J121" s="49"/>
      <c r="K121" s="35"/>
    </row>
    <row r="122" spans="1:11" s="48" customFormat="1" ht="13.2" x14ac:dyDescent="0.25">
      <c r="A122" s="42"/>
      <c r="B122" s="43"/>
      <c r="C122" s="44" t="s">
        <v>16</v>
      </c>
      <c r="D122" s="43"/>
      <c r="E122" s="45"/>
      <c r="F122" s="45"/>
      <c r="G122" s="46"/>
      <c r="H122" s="46"/>
      <c r="I122" s="46">
        <f t="shared" si="17"/>
        <v>0</v>
      </c>
      <c r="J122" s="49"/>
      <c r="K122" s="35"/>
    </row>
    <row r="123" spans="1:11" s="48" customFormat="1" ht="13.2" x14ac:dyDescent="0.25">
      <c r="A123" s="42"/>
      <c r="B123" s="43"/>
      <c r="C123" s="44" t="s">
        <v>16</v>
      </c>
      <c r="D123" s="43"/>
      <c r="E123" s="45"/>
      <c r="F123" s="45"/>
      <c r="G123" s="46"/>
      <c r="H123" s="46"/>
      <c r="I123" s="46">
        <f t="shared" si="17"/>
        <v>0</v>
      </c>
      <c r="J123" s="49"/>
      <c r="K123" s="35"/>
    </row>
    <row r="124" spans="1:11" s="48" customFormat="1" ht="13.2" x14ac:dyDescent="0.25">
      <c r="A124" s="42"/>
      <c r="B124" s="43"/>
      <c r="C124" s="44" t="s">
        <v>16</v>
      </c>
      <c r="D124" s="43"/>
      <c r="E124" s="45"/>
      <c r="F124" s="45"/>
      <c r="G124" s="46"/>
      <c r="H124" s="46"/>
      <c r="I124" s="46">
        <f t="shared" si="17"/>
        <v>0</v>
      </c>
      <c r="J124" s="49"/>
      <c r="K124" s="35"/>
    </row>
    <row r="125" spans="1:11" s="48" customFormat="1" ht="13.2" x14ac:dyDescent="0.25">
      <c r="A125" s="42"/>
      <c r="B125" s="43"/>
      <c r="C125" s="44" t="s">
        <v>16</v>
      </c>
      <c r="D125" s="43"/>
      <c r="E125" s="45"/>
      <c r="F125" s="45"/>
      <c r="G125" s="46"/>
      <c r="H125" s="46"/>
      <c r="I125" s="46">
        <f t="shared" si="17"/>
        <v>0</v>
      </c>
      <c r="J125" s="49"/>
      <c r="K125" s="35"/>
    </row>
    <row r="126" spans="1:11" s="48" customFormat="1" ht="13.2" x14ac:dyDescent="0.25">
      <c r="A126" s="42"/>
      <c r="B126" s="43"/>
      <c r="C126" s="44" t="s">
        <v>16</v>
      </c>
      <c r="D126" s="43"/>
      <c r="E126" s="45"/>
      <c r="F126" s="45"/>
      <c r="G126" s="46"/>
      <c r="H126" s="46"/>
      <c r="I126" s="46">
        <f t="shared" si="17"/>
        <v>0</v>
      </c>
      <c r="J126" s="49"/>
      <c r="K126" s="35"/>
    </row>
    <row r="127" spans="1:11" s="48" customFormat="1" ht="13.2" x14ac:dyDescent="0.25">
      <c r="A127" s="42"/>
      <c r="B127" s="43"/>
      <c r="C127" s="44" t="s">
        <v>16</v>
      </c>
      <c r="D127" s="43"/>
      <c r="E127" s="45"/>
      <c r="F127" s="45"/>
      <c r="G127" s="46"/>
      <c r="H127" s="46"/>
      <c r="I127" s="46">
        <f t="shared" si="16"/>
        <v>0</v>
      </c>
      <c r="J127" s="49"/>
      <c r="K127" s="35"/>
    </row>
    <row r="128" spans="1:11" s="48" customFormat="1" ht="13.2" x14ac:dyDescent="0.25">
      <c r="A128" s="42"/>
      <c r="B128" s="43"/>
      <c r="C128" s="44" t="s">
        <v>16</v>
      </c>
      <c r="D128" s="43"/>
      <c r="E128" s="45"/>
      <c r="F128" s="45"/>
      <c r="G128" s="46"/>
      <c r="H128" s="46"/>
      <c r="I128" s="46">
        <f t="shared" si="16"/>
        <v>0</v>
      </c>
      <c r="J128" s="49"/>
      <c r="K128" s="35"/>
    </row>
    <row r="129" spans="1:11" ht="13.2" x14ac:dyDescent="0.25">
      <c r="A129" s="13"/>
      <c r="B129" s="15"/>
      <c r="C129" s="15"/>
      <c r="D129" s="15"/>
      <c r="E129" s="15" t="s">
        <v>17</v>
      </c>
      <c r="F129" s="15"/>
      <c r="G129" s="18">
        <f t="shared" ref="G129:H129" si="18">SUM(G111:G128)</f>
        <v>0</v>
      </c>
      <c r="H129" s="18">
        <f t="shared" si="18"/>
        <v>0</v>
      </c>
      <c r="I129" s="18">
        <f t="shared" si="16"/>
        <v>0</v>
      </c>
      <c r="J129" s="19"/>
      <c r="K129" s="36"/>
    </row>
    <row r="130" spans="1:11" ht="18.75" customHeight="1" x14ac:dyDescent="0.25">
      <c r="A130" s="56" t="s">
        <v>23</v>
      </c>
      <c r="B130" s="54"/>
      <c r="C130" s="54"/>
      <c r="D130" s="54"/>
      <c r="E130" s="54"/>
      <c r="F130" s="54"/>
      <c r="G130" s="54"/>
      <c r="H130" s="54"/>
      <c r="I130" s="54"/>
      <c r="J130" s="54"/>
      <c r="K130" s="55"/>
    </row>
    <row r="131" spans="1:11" ht="13.2" x14ac:dyDescent="0.25">
      <c r="A131" s="27" t="s">
        <v>12</v>
      </c>
      <c r="B131" s="72" t="s">
        <v>13</v>
      </c>
      <c r="C131" s="54"/>
      <c r="D131" s="54"/>
      <c r="E131" s="54"/>
      <c r="F131" s="54"/>
      <c r="G131" s="54"/>
      <c r="H131" s="54"/>
      <c r="I131" s="54"/>
      <c r="J131" s="54"/>
      <c r="K131" s="55"/>
    </row>
    <row r="132" spans="1:11" ht="28.5" customHeight="1" x14ac:dyDescent="0.25">
      <c r="A132" s="28" t="s">
        <v>14</v>
      </c>
      <c r="B132" s="72" t="s">
        <v>15</v>
      </c>
      <c r="C132" s="54"/>
      <c r="D132" s="54"/>
      <c r="E132" s="54"/>
      <c r="F132" s="54"/>
      <c r="G132" s="54"/>
      <c r="H132" s="54"/>
      <c r="I132" s="54"/>
      <c r="J132" s="54"/>
      <c r="K132" s="55"/>
    </row>
    <row r="133" spans="1:11" s="48" customFormat="1" ht="13.2" x14ac:dyDescent="0.25">
      <c r="A133" s="42"/>
      <c r="B133" s="43"/>
      <c r="C133" s="44" t="s">
        <v>16</v>
      </c>
      <c r="D133" s="43"/>
      <c r="E133" s="45"/>
      <c r="F133" s="45"/>
      <c r="G133" s="46"/>
      <c r="H133" s="46"/>
      <c r="I133" s="46">
        <f t="shared" ref="I133:I150" si="19">H133-G133</f>
        <v>0</v>
      </c>
      <c r="J133" s="49"/>
      <c r="K133" s="35"/>
    </row>
    <row r="134" spans="1:11" s="48" customFormat="1" ht="13.2" x14ac:dyDescent="0.25">
      <c r="A134" s="42"/>
      <c r="B134" s="43"/>
      <c r="C134" s="44" t="s">
        <v>16</v>
      </c>
      <c r="D134" s="43"/>
      <c r="E134" s="45"/>
      <c r="F134" s="45"/>
      <c r="G134" s="46"/>
      <c r="H134" s="46"/>
      <c r="I134" s="46">
        <f t="shared" si="19"/>
        <v>0</v>
      </c>
      <c r="J134" s="49"/>
      <c r="K134" s="35"/>
    </row>
    <row r="135" spans="1:11" s="48" customFormat="1" ht="13.2" x14ac:dyDescent="0.25">
      <c r="A135" s="42"/>
      <c r="B135" s="43"/>
      <c r="C135" s="44" t="s">
        <v>16</v>
      </c>
      <c r="D135" s="43"/>
      <c r="E135" s="45"/>
      <c r="F135" s="45"/>
      <c r="G135" s="46"/>
      <c r="H135" s="46"/>
      <c r="I135" s="46">
        <f t="shared" si="19"/>
        <v>0</v>
      </c>
      <c r="J135" s="49"/>
      <c r="K135" s="35"/>
    </row>
    <row r="136" spans="1:11" s="48" customFormat="1" ht="13.2" x14ac:dyDescent="0.25">
      <c r="A136" s="42"/>
      <c r="B136" s="43"/>
      <c r="C136" s="44" t="s">
        <v>16</v>
      </c>
      <c r="D136" s="43"/>
      <c r="E136" s="45"/>
      <c r="F136" s="45"/>
      <c r="G136" s="46"/>
      <c r="H136" s="46"/>
      <c r="I136" s="46">
        <f t="shared" si="19"/>
        <v>0</v>
      </c>
      <c r="J136" s="49"/>
      <c r="K136" s="35"/>
    </row>
    <row r="137" spans="1:11" s="48" customFormat="1" ht="13.2" x14ac:dyDescent="0.25">
      <c r="A137" s="42"/>
      <c r="B137" s="43"/>
      <c r="C137" s="44" t="s">
        <v>16</v>
      </c>
      <c r="D137" s="43"/>
      <c r="E137" s="45"/>
      <c r="F137" s="45"/>
      <c r="G137" s="46"/>
      <c r="H137" s="46"/>
      <c r="I137" s="46">
        <f t="shared" si="19"/>
        <v>0</v>
      </c>
      <c r="J137" s="49"/>
      <c r="K137" s="35"/>
    </row>
    <row r="138" spans="1:11" s="48" customFormat="1" ht="13.2" x14ac:dyDescent="0.25">
      <c r="A138" s="42"/>
      <c r="B138" s="43"/>
      <c r="C138" s="44" t="s">
        <v>16</v>
      </c>
      <c r="D138" s="43"/>
      <c r="E138" s="45"/>
      <c r="F138" s="45"/>
      <c r="G138" s="46"/>
      <c r="H138" s="46"/>
      <c r="I138" s="46">
        <f t="shared" si="19"/>
        <v>0</v>
      </c>
      <c r="J138" s="49"/>
      <c r="K138" s="35"/>
    </row>
    <row r="139" spans="1:11" s="48" customFormat="1" ht="13.2" x14ac:dyDescent="0.25">
      <c r="A139" s="42"/>
      <c r="B139" s="43"/>
      <c r="C139" s="44" t="s">
        <v>16</v>
      </c>
      <c r="D139" s="43"/>
      <c r="E139" s="45"/>
      <c r="F139" s="45"/>
      <c r="G139" s="46"/>
      <c r="H139" s="46"/>
      <c r="I139" s="46">
        <f t="shared" si="19"/>
        <v>0</v>
      </c>
      <c r="J139" s="49"/>
      <c r="K139" s="35"/>
    </row>
    <row r="140" spans="1:11" s="48" customFormat="1" ht="13.2" x14ac:dyDescent="0.25">
      <c r="A140" s="42"/>
      <c r="B140" s="43"/>
      <c r="C140" s="44" t="s">
        <v>16</v>
      </c>
      <c r="D140" s="43"/>
      <c r="E140" s="45"/>
      <c r="F140" s="45"/>
      <c r="G140" s="46"/>
      <c r="H140" s="46"/>
      <c r="I140" s="46">
        <f t="shared" si="19"/>
        <v>0</v>
      </c>
      <c r="J140" s="49"/>
      <c r="K140" s="35"/>
    </row>
    <row r="141" spans="1:11" s="48" customFormat="1" ht="13.2" x14ac:dyDescent="0.25">
      <c r="A141" s="42"/>
      <c r="B141" s="43"/>
      <c r="C141" s="44" t="s">
        <v>16</v>
      </c>
      <c r="D141" s="43"/>
      <c r="E141" s="45"/>
      <c r="F141" s="45"/>
      <c r="G141" s="46"/>
      <c r="H141" s="46"/>
      <c r="I141" s="46">
        <f t="shared" ref="I141:I147" si="20">H141-G141</f>
        <v>0</v>
      </c>
      <c r="J141" s="49"/>
      <c r="K141" s="35"/>
    </row>
    <row r="142" spans="1:11" s="48" customFormat="1" ht="13.2" x14ac:dyDescent="0.25">
      <c r="A142" s="42"/>
      <c r="B142" s="43"/>
      <c r="C142" s="44" t="s">
        <v>16</v>
      </c>
      <c r="D142" s="43"/>
      <c r="E142" s="45"/>
      <c r="F142" s="45"/>
      <c r="G142" s="46"/>
      <c r="H142" s="46"/>
      <c r="I142" s="46">
        <f t="shared" si="20"/>
        <v>0</v>
      </c>
      <c r="J142" s="49"/>
      <c r="K142" s="35"/>
    </row>
    <row r="143" spans="1:11" s="48" customFormat="1" ht="13.2" x14ac:dyDescent="0.25">
      <c r="A143" s="42"/>
      <c r="B143" s="43"/>
      <c r="C143" s="44" t="s">
        <v>16</v>
      </c>
      <c r="D143" s="43"/>
      <c r="E143" s="45"/>
      <c r="F143" s="45"/>
      <c r="G143" s="46"/>
      <c r="H143" s="46"/>
      <c r="I143" s="46">
        <f t="shared" si="20"/>
        <v>0</v>
      </c>
      <c r="J143" s="49"/>
      <c r="K143" s="35"/>
    </row>
    <row r="144" spans="1:11" s="48" customFormat="1" ht="13.2" x14ac:dyDescent="0.25">
      <c r="A144" s="42"/>
      <c r="B144" s="43"/>
      <c r="C144" s="44" t="s">
        <v>16</v>
      </c>
      <c r="D144" s="43"/>
      <c r="E144" s="45"/>
      <c r="F144" s="45"/>
      <c r="G144" s="46"/>
      <c r="H144" s="46"/>
      <c r="I144" s="46">
        <f t="shared" si="20"/>
        <v>0</v>
      </c>
      <c r="J144" s="49"/>
      <c r="K144" s="35"/>
    </row>
    <row r="145" spans="1:11" s="48" customFormat="1" ht="13.2" x14ac:dyDescent="0.25">
      <c r="A145" s="42"/>
      <c r="B145" s="43"/>
      <c r="C145" s="44" t="s">
        <v>16</v>
      </c>
      <c r="D145" s="43"/>
      <c r="E145" s="45"/>
      <c r="F145" s="45"/>
      <c r="G145" s="46"/>
      <c r="H145" s="46"/>
      <c r="I145" s="46">
        <f t="shared" si="20"/>
        <v>0</v>
      </c>
      <c r="J145" s="49"/>
      <c r="K145" s="35"/>
    </row>
    <row r="146" spans="1:11" s="48" customFormat="1" ht="13.2" x14ac:dyDescent="0.25">
      <c r="A146" s="42"/>
      <c r="B146" s="43"/>
      <c r="C146" s="44" t="s">
        <v>16</v>
      </c>
      <c r="D146" s="43"/>
      <c r="E146" s="45"/>
      <c r="F146" s="45"/>
      <c r="G146" s="46"/>
      <c r="H146" s="46"/>
      <c r="I146" s="46">
        <f t="shared" si="20"/>
        <v>0</v>
      </c>
      <c r="J146" s="49"/>
      <c r="K146" s="35"/>
    </row>
    <row r="147" spans="1:11" s="48" customFormat="1" ht="13.2" x14ac:dyDescent="0.25">
      <c r="A147" s="42"/>
      <c r="B147" s="43"/>
      <c r="C147" s="44" t="s">
        <v>16</v>
      </c>
      <c r="D147" s="43"/>
      <c r="E147" s="45"/>
      <c r="F147" s="45"/>
      <c r="G147" s="46"/>
      <c r="H147" s="46"/>
      <c r="I147" s="46">
        <f t="shared" si="20"/>
        <v>0</v>
      </c>
      <c r="J147" s="49"/>
      <c r="K147" s="35"/>
    </row>
    <row r="148" spans="1:11" s="48" customFormat="1" ht="13.2" x14ac:dyDescent="0.25">
      <c r="A148" s="42"/>
      <c r="B148" s="43"/>
      <c r="C148" s="44" t="s">
        <v>16</v>
      </c>
      <c r="D148" s="43"/>
      <c r="E148" s="45"/>
      <c r="F148" s="45"/>
      <c r="G148" s="46"/>
      <c r="H148" s="46"/>
      <c r="I148" s="46">
        <f t="shared" si="19"/>
        <v>0</v>
      </c>
      <c r="J148" s="49"/>
      <c r="K148" s="35"/>
    </row>
    <row r="149" spans="1:11" s="48" customFormat="1" ht="13.2" x14ac:dyDescent="0.25">
      <c r="A149" s="42"/>
      <c r="B149" s="43"/>
      <c r="C149" s="44" t="s">
        <v>16</v>
      </c>
      <c r="D149" s="43"/>
      <c r="E149" s="45"/>
      <c r="F149" s="45"/>
      <c r="G149" s="46"/>
      <c r="H149" s="46"/>
      <c r="I149" s="46">
        <f t="shared" si="19"/>
        <v>0</v>
      </c>
      <c r="J149" s="49"/>
      <c r="K149" s="35"/>
    </row>
    <row r="150" spans="1:11" ht="13.2" x14ac:dyDescent="0.25">
      <c r="A150" s="13"/>
      <c r="B150" s="15"/>
      <c r="C150" s="15"/>
      <c r="D150" s="15"/>
      <c r="E150" s="15" t="s">
        <v>17</v>
      </c>
      <c r="F150" s="15"/>
      <c r="G150" s="18">
        <f t="shared" ref="G150:H150" si="21">SUM(G133:G149)</f>
        <v>0</v>
      </c>
      <c r="H150" s="18">
        <f t="shared" si="21"/>
        <v>0</v>
      </c>
      <c r="I150" s="18">
        <f t="shared" si="19"/>
        <v>0</v>
      </c>
      <c r="J150" s="19"/>
      <c r="K150" s="36"/>
    </row>
    <row r="151" spans="1:11" ht="18.75" customHeight="1" x14ac:dyDescent="0.25">
      <c r="A151" s="60" t="s">
        <v>24</v>
      </c>
      <c r="B151" s="61"/>
      <c r="C151" s="61"/>
      <c r="D151" s="61"/>
      <c r="E151" s="61"/>
      <c r="F151" s="61"/>
      <c r="G151" s="61"/>
      <c r="H151" s="61"/>
      <c r="I151" s="61"/>
      <c r="J151" s="61"/>
      <c r="K151" s="62"/>
    </row>
    <row r="152" spans="1:11" ht="13.2" x14ac:dyDescent="0.25">
      <c r="A152" s="30" t="s">
        <v>12</v>
      </c>
      <c r="B152" s="63" t="s">
        <v>13</v>
      </c>
      <c r="C152" s="61"/>
      <c r="D152" s="61"/>
      <c r="E152" s="61"/>
      <c r="F152" s="61"/>
      <c r="G152" s="61"/>
      <c r="H152" s="61"/>
      <c r="I152" s="61"/>
      <c r="J152" s="61"/>
      <c r="K152" s="62"/>
    </row>
    <row r="153" spans="1:11" ht="28.5" customHeight="1" x14ac:dyDescent="0.25">
      <c r="A153" s="31" t="s">
        <v>14</v>
      </c>
      <c r="B153" s="63" t="s">
        <v>15</v>
      </c>
      <c r="C153" s="61"/>
      <c r="D153" s="61"/>
      <c r="E153" s="61"/>
      <c r="F153" s="61"/>
      <c r="G153" s="61"/>
      <c r="H153" s="61"/>
      <c r="I153" s="61"/>
      <c r="J153" s="61"/>
      <c r="K153" s="62"/>
    </row>
    <row r="154" spans="1:11" s="48" customFormat="1" ht="13.2" x14ac:dyDescent="0.25">
      <c r="A154" s="42"/>
      <c r="B154" s="43"/>
      <c r="C154" s="44" t="s">
        <v>16</v>
      </c>
      <c r="D154" s="43"/>
      <c r="E154" s="45"/>
      <c r="F154" s="45"/>
      <c r="G154" s="46"/>
      <c r="H154" s="46"/>
      <c r="I154" s="46">
        <f t="shared" ref="I154:I172" si="22">H154-G154</f>
        <v>0</v>
      </c>
      <c r="J154" s="49"/>
      <c r="K154" s="35"/>
    </row>
    <row r="155" spans="1:11" s="48" customFormat="1" ht="13.2" x14ac:dyDescent="0.25">
      <c r="A155" s="42"/>
      <c r="B155" s="43"/>
      <c r="C155" s="44" t="s">
        <v>16</v>
      </c>
      <c r="D155" s="43"/>
      <c r="E155" s="45"/>
      <c r="F155" s="45"/>
      <c r="G155" s="46"/>
      <c r="H155" s="46"/>
      <c r="I155" s="46">
        <f t="shared" si="22"/>
        <v>0</v>
      </c>
      <c r="J155" s="49"/>
      <c r="K155" s="35"/>
    </row>
    <row r="156" spans="1:11" s="48" customFormat="1" ht="13.2" x14ac:dyDescent="0.25">
      <c r="A156" s="42"/>
      <c r="B156" s="43"/>
      <c r="C156" s="44" t="s">
        <v>16</v>
      </c>
      <c r="D156" s="43"/>
      <c r="E156" s="45"/>
      <c r="F156" s="45"/>
      <c r="G156" s="46"/>
      <c r="H156" s="46"/>
      <c r="I156" s="46">
        <f t="shared" si="22"/>
        <v>0</v>
      </c>
      <c r="J156" s="49"/>
      <c r="K156" s="35"/>
    </row>
    <row r="157" spans="1:11" s="48" customFormat="1" ht="13.2" x14ac:dyDescent="0.25">
      <c r="A157" s="42"/>
      <c r="B157" s="43"/>
      <c r="C157" s="44" t="s">
        <v>16</v>
      </c>
      <c r="D157" s="43"/>
      <c r="E157" s="45"/>
      <c r="F157" s="45"/>
      <c r="G157" s="46"/>
      <c r="H157" s="46"/>
      <c r="I157" s="46">
        <f t="shared" si="22"/>
        <v>0</v>
      </c>
      <c r="J157" s="49"/>
      <c r="K157" s="35"/>
    </row>
    <row r="158" spans="1:11" s="48" customFormat="1" ht="13.2" x14ac:dyDescent="0.25">
      <c r="A158" s="42"/>
      <c r="B158" s="43"/>
      <c r="C158" s="44" t="s">
        <v>16</v>
      </c>
      <c r="D158" s="43"/>
      <c r="E158" s="45"/>
      <c r="F158" s="45"/>
      <c r="G158" s="46"/>
      <c r="H158" s="46"/>
      <c r="I158" s="46">
        <f t="shared" si="22"/>
        <v>0</v>
      </c>
      <c r="J158" s="49"/>
      <c r="K158" s="35"/>
    </row>
    <row r="159" spans="1:11" s="48" customFormat="1" ht="13.2" x14ac:dyDescent="0.25">
      <c r="A159" s="42"/>
      <c r="B159" s="43"/>
      <c r="C159" s="44" t="s">
        <v>16</v>
      </c>
      <c r="D159" s="43"/>
      <c r="E159" s="45"/>
      <c r="F159" s="45"/>
      <c r="G159" s="46"/>
      <c r="H159" s="46"/>
      <c r="I159" s="46">
        <f t="shared" si="22"/>
        <v>0</v>
      </c>
      <c r="J159" s="49"/>
      <c r="K159" s="35"/>
    </row>
    <row r="160" spans="1:11" s="48" customFormat="1" ht="13.2" x14ac:dyDescent="0.25">
      <c r="A160" s="42"/>
      <c r="B160" s="43"/>
      <c r="C160" s="44" t="s">
        <v>16</v>
      </c>
      <c r="D160" s="43"/>
      <c r="E160" s="45"/>
      <c r="F160" s="45"/>
      <c r="G160" s="46"/>
      <c r="H160" s="46"/>
      <c r="I160" s="46">
        <f t="shared" si="22"/>
        <v>0</v>
      </c>
      <c r="J160" s="49"/>
      <c r="K160" s="35"/>
    </row>
    <row r="161" spans="1:11" s="48" customFormat="1" ht="13.2" x14ac:dyDescent="0.25">
      <c r="A161" s="42"/>
      <c r="B161" s="43"/>
      <c r="C161" s="44" t="s">
        <v>16</v>
      </c>
      <c r="D161" s="43"/>
      <c r="E161" s="45"/>
      <c r="F161" s="45"/>
      <c r="G161" s="46"/>
      <c r="H161" s="46"/>
      <c r="I161" s="46">
        <f t="shared" si="22"/>
        <v>0</v>
      </c>
      <c r="J161" s="49"/>
      <c r="K161" s="35"/>
    </row>
    <row r="162" spans="1:11" s="48" customFormat="1" ht="13.2" x14ac:dyDescent="0.25">
      <c r="A162" s="42"/>
      <c r="B162" s="43"/>
      <c r="C162" s="44" t="s">
        <v>16</v>
      </c>
      <c r="D162" s="43"/>
      <c r="E162" s="45"/>
      <c r="F162" s="45"/>
      <c r="G162" s="46"/>
      <c r="H162" s="46"/>
      <c r="I162" s="46">
        <f t="shared" ref="I162:I169" si="23">H162-G162</f>
        <v>0</v>
      </c>
      <c r="J162" s="49"/>
      <c r="K162" s="35"/>
    </row>
    <row r="163" spans="1:11" s="48" customFormat="1" ht="13.2" x14ac:dyDescent="0.25">
      <c r="A163" s="42"/>
      <c r="B163" s="43"/>
      <c r="C163" s="44" t="s">
        <v>16</v>
      </c>
      <c r="D163" s="43"/>
      <c r="E163" s="45"/>
      <c r="F163" s="45"/>
      <c r="G163" s="46"/>
      <c r="H163" s="46"/>
      <c r="I163" s="46">
        <f t="shared" si="23"/>
        <v>0</v>
      </c>
      <c r="J163" s="49"/>
      <c r="K163" s="35"/>
    </row>
    <row r="164" spans="1:11" s="48" customFormat="1" ht="13.2" x14ac:dyDescent="0.25">
      <c r="A164" s="42"/>
      <c r="B164" s="43"/>
      <c r="C164" s="44" t="s">
        <v>16</v>
      </c>
      <c r="D164" s="43"/>
      <c r="E164" s="45"/>
      <c r="F164" s="45"/>
      <c r="G164" s="46"/>
      <c r="H164" s="46"/>
      <c r="I164" s="46">
        <f t="shared" si="23"/>
        <v>0</v>
      </c>
      <c r="J164" s="49"/>
      <c r="K164" s="35"/>
    </row>
    <row r="165" spans="1:11" s="48" customFormat="1" ht="13.2" x14ac:dyDescent="0.25">
      <c r="A165" s="42"/>
      <c r="B165" s="43"/>
      <c r="C165" s="44" t="s">
        <v>16</v>
      </c>
      <c r="D165" s="43"/>
      <c r="E165" s="45"/>
      <c r="F165" s="45"/>
      <c r="G165" s="46"/>
      <c r="H165" s="46"/>
      <c r="I165" s="46">
        <f t="shared" si="23"/>
        <v>0</v>
      </c>
      <c r="J165" s="49"/>
      <c r="K165" s="35"/>
    </row>
    <row r="166" spans="1:11" s="48" customFormat="1" ht="13.2" x14ac:dyDescent="0.25">
      <c r="A166" s="42"/>
      <c r="B166" s="43"/>
      <c r="C166" s="44" t="s">
        <v>16</v>
      </c>
      <c r="D166" s="43"/>
      <c r="E166" s="45"/>
      <c r="F166" s="45"/>
      <c r="G166" s="46"/>
      <c r="H166" s="46"/>
      <c r="I166" s="46">
        <f t="shared" si="23"/>
        <v>0</v>
      </c>
      <c r="J166" s="49"/>
      <c r="K166" s="35"/>
    </row>
    <row r="167" spans="1:11" s="48" customFormat="1" ht="13.2" x14ac:dyDescent="0.25">
      <c r="A167" s="42"/>
      <c r="B167" s="43"/>
      <c r="C167" s="44" t="s">
        <v>16</v>
      </c>
      <c r="D167" s="43"/>
      <c r="E167" s="45"/>
      <c r="F167" s="45"/>
      <c r="G167" s="46"/>
      <c r="H167" s="46"/>
      <c r="I167" s="46">
        <f t="shared" si="23"/>
        <v>0</v>
      </c>
      <c r="J167" s="49"/>
      <c r="K167" s="35"/>
    </row>
    <row r="168" spans="1:11" s="48" customFormat="1" ht="13.2" x14ac:dyDescent="0.25">
      <c r="A168" s="42"/>
      <c r="B168" s="43"/>
      <c r="C168" s="44" t="s">
        <v>16</v>
      </c>
      <c r="D168" s="43"/>
      <c r="E168" s="45"/>
      <c r="F168" s="45"/>
      <c r="G168" s="46"/>
      <c r="H168" s="46"/>
      <c r="I168" s="46">
        <f t="shared" si="23"/>
        <v>0</v>
      </c>
      <c r="J168" s="49"/>
      <c r="K168" s="35"/>
    </row>
    <row r="169" spans="1:11" s="48" customFormat="1" ht="13.2" x14ac:dyDescent="0.25">
      <c r="A169" s="42"/>
      <c r="B169" s="43"/>
      <c r="C169" s="44" t="s">
        <v>16</v>
      </c>
      <c r="D169" s="43"/>
      <c r="E169" s="45"/>
      <c r="F169" s="45"/>
      <c r="G169" s="46"/>
      <c r="H169" s="46"/>
      <c r="I169" s="46">
        <f t="shared" si="23"/>
        <v>0</v>
      </c>
      <c r="J169" s="49"/>
      <c r="K169" s="35"/>
    </row>
    <row r="170" spans="1:11" s="48" customFormat="1" ht="13.2" x14ac:dyDescent="0.25">
      <c r="A170" s="42"/>
      <c r="B170" s="43"/>
      <c r="C170" s="44" t="s">
        <v>16</v>
      </c>
      <c r="D170" s="43"/>
      <c r="E170" s="45"/>
      <c r="F170" s="45"/>
      <c r="G170" s="46"/>
      <c r="H170" s="46"/>
      <c r="I170" s="46">
        <f t="shared" si="22"/>
        <v>0</v>
      </c>
      <c r="J170" s="49"/>
      <c r="K170" s="35"/>
    </row>
    <row r="171" spans="1:11" s="48" customFormat="1" ht="13.2" x14ac:dyDescent="0.25">
      <c r="A171" s="42"/>
      <c r="B171" s="43"/>
      <c r="C171" s="44" t="s">
        <v>16</v>
      </c>
      <c r="D171" s="43"/>
      <c r="E171" s="45"/>
      <c r="F171" s="45"/>
      <c r="G171" s="46"/>
      <c r="H171" s="46"/>
      <c r="I171" s="46">
        <f t="shared" si="22"/>
        <v>0</v>
      </c>
      <c r="J171" s="49"/>
      <c r="K171" s="35"/>
    </row>
    <row r="172" spans="1:11" ht="13.2" x14ac:dyDescent="0.25">
      <c r="A172" s="37"/>
      <c r="B172" s="38"/>
      <c r="C172" s="38"/>
      <c r="D172" s="38"/>
      <c r="E172" s="38" t="s">
        <v>17</v>
      </c>
      <c r="F172" s="38"/>
      <c r="G172" s="39">
        <f t="shared" ref="G172:H172" si="24">SUM(G154:G171)</f>
        <v>0</v>
      </c>
      <c r="H172" s="39">
        <f t="shared" si="24"/>
        <v>0</v>
      </c>
      <c r="I172" s="39">
        <f t="shared" si="22"/>
        <v>0</v>
      </c>
      <c r="J172" s="40"/>
      <c r="K172" s="41"/>
    </row>
  </sheetData>
  <autoFilter ref="A1:K22" xr:uid="{00000000-0009-0000-0000-000000000000}"/>
  <customSheetViews>
    <customSheetView guid="{8BAC9A6B-5D32-4E8D-967D-E17D357516F8}" filter="1" showAutoFilter="1">
      <pageMargins left="0" right="0" top="0" bottom="0" header="0" footer="0"/>
      <autoFilter ref="A1:K15" xr:uid="{A60B6F9E-8659-4CAB-9762-E43C8C597133}">
        <filterColumn colId="1">
          <filters blank="1">
            <filter val="- Weekplan item 1_x000a_- Weekplan item 2_x000a_- Weekplan item 3_x000a_- etc"/>
            <filter val="[Enter known possible issues that are a risk for you to finish the high level week planning]"/>
          </filters>
        </filterColumn>
      </autoFilter>
    </customSheetView>
  </customSheetViews>
  <mergeCells count="21">
    <mergeCell ref="A151:K151"/>
    <mergeCell ref="B152:K152"/>
    <mergeCell ref="B153:K153"/>
    <mergeCell ref="A2:K2"/>
    <mergeCell ref="B3:K3"/>
    <mergeCell ref="B4:K4"/>
    <mergeCell ref="A23:K23"/>
    <mergeCell ref="B24:K24"/>
    <mergeCell ref="B25:K25"/>
    <mergeCell ref="A42:K42"/>
    <mergeCell ref="B43:K43"/>
    <mergeCell ref="B44:K44"/>
    <mergeCell ref="B131:K131"/>
    <mergeCell ref="B132:K132"/>
    <mergeCell ref="B109:K109"/>
    <mergeCell ref="B110:K110"/>
    <mergeCell ref="A130:K130"/>
    <mergeCell ref="A86:K86"/>
    <mergeCell ref="B87:K87"/>
    <mergeCell ref="B88:K88"/>
    <mergeCell ref="A108:K108"/>
  </mergeCells>
  <phoneticPr fontId="16" type="noConversion"/>
  <conditionalFormatting sqref="B5:B21 B89:B106 B111:B128 B133:B149 B24:B40 B45:B84">
    <cfRule type="containsText" dxfId="22" priority="10" operator="containsText" text="Unplanned">
      <formula>NOT(ISERROR(SEARCH(("Unplanned"),(B5))))</formula>
    </cfRule>
    <cfRule type="containsText" dxfId="21" priority="11" operator="containsText" text="Planned">
      <formula>NOT(ISERROR(SEARCH(("Planned"),(B5))))</formula>
    </cfRule>
    <cfRule type="containsText" dxfId="20" priority="12" operator="containsText" text="In-Progress">
      <formula>NOT(ISERROR(SEARCH(("In-Progress"),(B5))))</formula>
    </cfRule>
    <cfRule type="containsText" dxfId="19" priority="13" operator="containsText" text="Blocked">
      <formula>NOT(ISERROR(SEARCH(("Blocked"),(B5))))</formula>
    </cfRule>
    <cfRule type="containsText" dxfId="18" priority="14" operator="containsText" text="Done">
      <formula>NOT(ISERROR(SEARCH(("Done"),(B5))))</formula>
    </cfRule>
  </conditionalFormatting>
  <conditionalFormatting sqref="B5:B22 B87:B107 B109:B129 B131:B150 B152:B172 B24:B41 B43:B85">
    <cfRule type="containsText" dxfId="17" priority="15" operator="containsText" text="Unplanned">
      <formula>NOT(ISERROR(SEARCH(("Unplanned"),(B5))))</formula>
    </cfRule>
    <cfRule type="containsText" dxfId="16" priority="16" operator="containsText" text="Cancelled">
      <formula>NOT(ISERROR(SEARCH(("Cancelled"),(B5))))</formula>
    </cfRule>
  </conditionalFormatting>
  <conditionalFormatting sqref="B154:B171">
    <cfRule type="containsText" dxfId="15" priority="5" operator="containsText" text="Unplanned">
      <formula>NOT(ISERROR(SEARCH(("Unplanned"),(B154))))</formula>
    </cfRule>
    <cfRule type="containsText" dxfId="14" priority="6" operator="containsText" text="Planned">
      <formula>NOT(ISERROR(SEARCH(("Planned"),(B154))))</formula>
    </cfRule>
    <cfRule type="containsText" dxfId="13" priority="7" operator="containsText" text="In-Progress">
      <formula>NOT(ISERROR(SEARCH(("In-Progress"),(B154))))</formula>
    </cfRule>
    <cfRule type="containsText" dxfId="12" priority="8" operator="containsText" text="Blocked">
      <formula>NOT(ISERROR(SEARCH(("Blocked"),(B154))))</formula>
    </cfRule>
    <cfRule type="containsText" dxfId="11" priority="9" operator="containsText" text="Done">
      <formula>NOT(ISERROR(SEARCH(("Done"),(B154))))</formula>
    </cfRule>
  </conditionalFormatting>
  <conditionalFormatting sqref="G1 G3:G22 G89:G107 G111:G129 G133:G150 G154:G172 G26:G41 G45:G85">
    <cfRule type="cellIs" dxfId="10" priority="19" operator="greaterThan">
      <formula>4</formula>
    </cfRule>
  </conditionalFormatting>
  <conditionalFormatting sqref="H1:H4 H7:H32 H36:H44 H46:H172">
    <cfRule type="containsBlanks" dxfId="9" priority="20">
      <formula>LEN(TRIM(H1))=0</formula>
    </cfRule>
  </conditionalFormatting>
  <conditionalFormatting sqref="H5:H6">
    <cfRule type="cellIs" dxfId="8" priority="3" operator="greaterThan">
      <formula>4</formula>
    </cfRule>
  </conditionalFormatting>
  <conditionalFormatting sqref="H33:H35">
    <cfRule type="cellIs" dxfId="7" priority="2" operator="greaterThan">
      <formula>4</formula>
    </cfRule>
  </conditionalFormatting>
  <conditionalFormatting sqref="I5:I22 I89:I107 I111:I129 I133:I150 I154:I172 I26:I41 I45:I85">
    <cfRule type="expression" dxfId="1" priority="17">
      <formula>H5/G5&gt;=1.5</formula>
    </cfRule>
    <cfRule type="expression" dxfId="0" priority="18">
      <formula>H5/G5&lt;=0.5</formula>
    </cfRule>
  </conditionalFormatting>
  <conditionalFormatting sqref="H45">
    <cfRule type="cellIs" dxfId="6" priority="1" operator="greaterThan">
      <formula>4</formula>
    </cfRule>
  </conditionalFormatting>
  <dataValidations count="1">
    <dataValidation type="list" allowBlank="1" sqref="F133:F149 F154:F171 F5:F21 F89:F106 F111:F128 F26:F40 F45:F84" xr:uid="{0FAB3063-668E-4727-8636-10D0A6594410}">
      <formula1>"ILO 1.6, ILO 2.6, ILO 5.1, ILO 6.4, ILO 8.5, ILO 8.6"</formula1>
    </dataValidation>
  </dataValidations>
  <hyperlinks>
    <hyperlink ref="J10" r:id="rId1" xr:uid="{338167E6-7B0F-4DEB-BE9A-83BBFDE4AA41}"/>
    <hyperlink ref="J9" r:id="rId2" xr:uid="{0D930CB9-7189-4EC5-83D8-1C1C65571550}"/>
    <hyperlink ref="J17" r:id="rId3" xr:uid="{4DC2825B-87CF-459D-B3D8-25ECA4518806}"/>
    <hyperlink ref="J15" r:id="rId4" xr:uid="{ACEDFC9A-0FF0-4EB7-B8A2-A808AF51EC76}"/>
    <hyperlink ref="J19" r:id="rId5" xr:uid="{15F60698-F236-48CF-9817-60E03A44251E}"/>
    <hyperlink ref="J20" r:id="rId6" xr:uid="{CD0FD26D-BE25-4EED-8F52-70668670D423}"/>
    <hyperlink ref="J35" r:id="rId7" xr:uid="{336236C0-5774-457E-8C6B-B15D8D1E5C6F}"/>
    <hyperlink ref="J28" r:id="rId8" xr:uid="{AA05656E-B459-4B01-971B-EC7FC7984922}"/>
    <hyperlink ref="J32" r:id="rId9" xr:uid="{B430FD59-6FDC-4875-93EF-48D33E82DA61}"/>
    <hyperlink ref="J26" r:id="rId10" xr:uid="{8AB49E5F-4AC4-4FEC-94CA-96A569865976}"/>
    <hyperlink ref="J37" r:id="rId11" display="Task_3.iptnb" xr:uid="{F2DA1509-0B1D-42DB-9497-97B06E3E568F}"/>
    <hyperlink ref="J38" r:id="rId12" display="Task_3.iptnb" xr:uid="{915BB071-3566-4CBF-ACCE-7E4B3E38559B}"/>
    <hyperlink ref="J39" r:id="rId13" display="Task_3.iptnb" xr:uid="{A490CE55-F5CD-4318-AF46-C6E87D777D36}"/>
    <hyperlink ref="J46" r:id="rId14" xr:uid="{AF76E1FC-1905-44B7-B3EE-FDF67809CD8E}"/>
    <hyperlink ref="J40" r:id="rId15" xr:uid="{056D9ED6-A5A6-4485-B46B-BF76AA10B790}"/>
    <hyperlink ref="J47" r:id="rId16" xr:uid="{AEC2E4B9-7482-4D25-B53F-DD537CDB58C7}"/>
    <hyperlink ref="J52" r:id="rId17" xr:uid="{9ED4FF94-64AA-4149-8440-4EF759F271A2}"/>
    <hyperlink ref="J29" r:id="rId18" xr:uid="{46BF8FD4-D9E6-4CD2-AF70-00CAA4CEC688}"/>
    <hyperlink ref="J31" r:id="rId19" xr:uid="{5F697AE4-29B6-4A1E-A5DB-8385293C28F6}"/>
    <hyperlink ref="J48" r:id="rId20" xr:uid="{559E7354-8DE8-43C3-A6F7-BE9573E97185}"/>
    <hyperlink ref="J54" r:id="rId21" xr:uid="{B3D57704-1AB0-42D8-9E1C-359D13F851F5}"/>
    <hyperlink ref="J55" r:id="rId22" xr:uid="{A8ED38AB-6FDD-4AAD-8AE9-AC766644CCE1}"/>
    <hyperlink ref="J56" r:id="rId23" xr:uid="{EC2B53DD-F328-4568-B4E5-C580AE5D009A}"/>
    <hyperlink ref="J53" r:id="rId24" xr:uid="{94BFDE91-284C-4F8E-930F-C0FC78C55C94}"/>
    <hyperlink ref="J49" r:id="rId25" xr:uid="{66680BDA-C870-494B-B2F5-4DA549E4D369}"/>
    <hyperlink ref="J34" r:id="rId26" xr:uid="{9D1A3009-1C02-4C43-9CE5-6D2F48979553}"/>
    <hyperlink ref="J58" r:id="rId27" xr:uid="{18C5F7D9-5ECD-4D97-9662-8B9D7E8AC324}"/>
  </hyperlinks>
  <pageMargins left="0.7" right="0.7" top="0.75" bottom="0.75" header="0.3" footer="0.3"/>
  <pageSetup paperSize="9" scale="52" fitToHeight="0" orientation="landscape" horizontalDpi="1200" verticalDpi="1200" r:id="rId28"/>
  <extLst>
    <ext xmlns:x14="http://schemas.microsoft.com/office/spreadsheetml/2009/9/main" uri="{CCE6A557-97BC-4b89-ADB6-D9C93CAAB3DF}">
      <x14:dataValidations xmlns:xm="http://schemas.microsoft.com/office/excel/2006/main" count="2">
        <x14:dataValidation type="list" allowBlank="1" xr:uid="{00000000-0002-0000-0000-000001000000}">
          <x14:formula1>
            <xm:f>'Drop-downs'!$B$2:$B$16</xm:f>
          </x14:formula1>
          <xm:sqref>E133:E149 E154:E171 E5:E21 E89:E106 E111:E128 E26:E40 E45:E84</xm:sqref>
        </x14:dataValidation>
        <x14:dataValidation type="list" allowBlank="1" xr:uid="{00000000-0002-0000-0000-000002000000}">
          <x14:formula1>
            <xm:f>'Drop-downs'!$A$2:$A$9</xm:f>
          </x14:formula1>
          <xm:sqref>B133:B149 B154:B171 B5:B21 B89:B106 B111:B128 B26:B40 B45:B84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K23"/>
  <sheetViews>
    <sheetView workbookViewId="0">
      <selection activeCell="D5" sqref="D5"/>
    </sheetView>
  </sheetViews>
  <sheetFormatPr defaultColWidth="14.44140625" defaultRowHeight="15" customHeight="1" x14ac:dyDescent="0.25"/>
  <cols>
    <col min="2" max="2" width="27" customWidth="1"/>
    <col min="11" max="11" width="20.44140625" customWidth="1"/>
  </cols>
  <sheetData>
    <row r="2" spans="2:11" ht="13.8" x14ac:dyDescent="0.3">
      <c r="B2" s="11" t="s">
        <v>25</v>
      </c>
      <c r="C2" s="2" t="s">
        <v>26</v>
      </c>
      <c r="D2" s="2" t="s">
        <v>27</v>
      </c>
      <c r="E2" s="2" t="s">
        <v>28</v>
      </c>
      <c r="F2" s="2" t="s">
        <v>29</v>
      </c>
      <c r="G2" s="2" t="s">
        <v>30</v>
      </c>
      <c r="H2" s="2" t="s">
        <v>31</v>
      </c>
      <c r="I2" s="2" t="s">
        <v>32</v>
      </c>
      <c r="J2" s="2" t="s">
        <v>33</v>
      </c>
      <c r="K2" s="3" t="s">
        <v>34</v>
      </c>
    </row>
    <row r="3" spans="2:11" ht="13.8" x14ac:dyDescent="0.3">
      <c r="B3" s="4" t="str">
        <f>'Drop-downs'!C2</f>
        <v>-</v>
      </c>
      <c r="C3" s="6"/>
      <c r="D3" s="6"/>
      <c r="E3" s="6"/>
      <c r="F3" s="6"/>
      <c r="G3" s="6"/>
      <c r="H3" s="6"/>
      <c r="I3" s="6"/>
      <c r="J3" s="6"/>
      <c r="K3" s="7">
        <f t="shared" ref="K3:K9" si="0">SUM(C3:J3)</f>
        <v>0</v>
      </c>
    </row>
    <row r="4" spans="2:11" ht="13.8" x14ac:dyDescent="0.3">
      <c r="B4" s="4" t="str">
        <f>'Drop-downs'!C3</f>
        <v>ILO 0.3</v>
      </c>
      <c r="C4" s="10" cm="1">
        <f t="array" ref="C4">IFERROR(SUM(_xlfn._xlws.FILTER('Worklog_Tasks&amp;Times'!$H$5:$H$21,'Worklog_Tasks&amp;Times'!$F$5:$F$21=$B4)),0)</f>
        <v>0</v>
      </c>
      <c r="D4" s="10" cm="1">
        <f t="array" ref="D4">IFERROR(SUM(_xlfn._xlws.FILTER('Worklog_Tasks&amp;Times'!$H$26:$H$39,'Worklog_Tasks&amp;Times'!$F$5:$F$21=$B4)),0)</f>
        <v>0</v>
      </c>
      <c r="E4" s="10" cm="1">
        <f t="array" ref="E4">IFERROR(SUM(_xlfn._xlws.FILTER('Worklog_Tasks&amp;Times'!$H$5:$H$21,'Worklog_Tasks&amp;Times'!$F$5:$F$21=$B4)),0)</f>
        <v>0</v>
      </c>
      <c r="F4" s="10" cm="1">
        <f t="array" ref="F4">IFERROR(SUM(_xlfn._xlws.FILTER('Worklog_Tasks&amp;Times'!$H$5:$H$21,'Worklog_Tasks&amp;Times'!$F$5:$F$21=$B4)),0)</f>
        <v>0</v>
      </c>
      <c r="G4" s="10" cm="1">
        <f t="array" ref="G4">IFERROR(SUM(_xlfn._xlws.FILTER('Worklog_Tasks&amp;Times'!$H$5:$H$21,'Worklog_Tasks&amp;Times'!$F$5:$F$21=$B4)),0)</f>
        <v>0</v>
      </c>
      <c r="H4" s="10" cm="1">
        <f t="array" ref="H4">IFERROR(SUM(_xlfn._xlws.FILTER('Worklog_Tasks&amp;Times'!$H$5:$H$21,'Worklog_Tasks&amp;Times'!$F$5:$F$21=$B4)),0)</f>
        <v>0</v>
      </c>
      <c r="I4" s="10" cm="1">
        <f t="array" ref="I4">IFERROR(SUM(_xlfn._xlws.FILTER('Worklog_Tasks&amp;Times'!$H$5:$H$21,'Worklog_Tasks&amp;Times'!$F$5:$F$21=$B4)),0)</f>
        <v>0</v>
      </c>
      <c r="J4" s="10" cm="1">
        <f t="array" ref="J4">IFERROR(SUM(_xlfn._xlws.FILTER('Worklog_Tasks&amp;Times'!$H$5:$H$21,'Worklog_Tasks&amp;Times'!$F$5:$F$21=$B4)),0)</f>
        <v>0</v>
      </c>
      <c r="K4" s="7">
        <f t="shared" si="0"/>
        <v>0</v>
      </c>
    </row>
    <row r="5" spans="2:11" ht="13.8" x14ac:dyDescent="0.3">
      <c r="B5" s="4" t="str">
        <f>'Drop-downs'!C4</f>
        <v>ILO 1.5</v>
      </c>
      <c r="C5" s="10" cm="1">
        <f t="array" ref="C5">IFERROR(SUM(_xlfn._xlws.FILTER('Worklog_Tasks&amp;Times'!$H$5:$H$21,'Worklog_Tasks&amp;Times'!$F$5:$F$21=$B5)),0)</f>
        <v>0</v>
      </c>
      <c r="D5" s="10" cm="1">
        <f t="array" ref="D5">IFERROR(SUM(_xlfn._xlws.FILTER('Worklog_Tasks&amp;Times'!$H$5:$H$21,'Worklog_Tasks&amp;Times'!$F$5:$F$21=$B5)),0)</f>
        <v>0</v>
      </c>
      <c r="E5" s="10" cm="1">
        <f t="array" ref="E5">IFERROR(SUM(_xlfn._xlws.FILTER('Worklog_Tasks&amp;Times'!$H$5:$H$21,'Worklog_Tasks&amp;Times'!$F$5:$F$21=$B5)),0)</f>
        <v>0</v>
      </c>
      <c r="F5" s="10" cm="1">
        <f t="array" ref="F5">IFERROR(SUM(_xlfn._xlws.FILTER('Worklog_Tasks&amp;Times'!$H$5:$H$21,'Worklog_Tasks&amp;Times'!$F$5:$F$21=$B5)),0)</f>
        <v>0</v>
      </c>
      <c r="G5" s="10" cm="1">
        <f t="array" ref="G5">IFERROR(SUM(_xlfn._xlws.FILTER('Worklog_Tasks&amp;Times'!$H$5:$H$21,'Worklog_Tasks&amp;Times'!$F$5:$F$21=$B5)),0)</f>
        <v>0</v>
      </c>
      <c r="H5" s="10" cm="1">
        <f t="array" ref="H5">IFERROR(SUM(_xlfn._xlws.FILTER('Worklog_Tasks&amp;Times'!$H$5:$H$21,'Worklog_Tasks&amp;Times'!$F$5:$F$21=$B5)),0)</f>
        <v>0</v>
      </c>
      <c r="I5" s="10" cm="1">
        <f t="array" ref="I5">IFERROR(SUM(_xlfn._xlws.FILTER('Worklog_Tasks&amp;Times'!$H$5:$H$21,'Worklog_Tasks&amp;Times'!$F$5:$F$21=$B5)),0)</f>
        <v>0</v>
      </c>
      <c r="J5" s="10" cm="1">
        <f t="array" ref="J5">IFERROR(SUM(_xlfn._xlws.FILTER('Worklog_Tasks&amp;Times'!$H$5:$H$21,'Worklog_Tasks&amp;Times'!$F$5:$F$21=$B5)),0)</f>
        <v>0</v>
      </c>
      <c r="K5" s="7">
        <f t="shared" si="0"/>
        <v>0</v>
      </c>
    </row>
    <row r="6" spans="2:11" ht="13.8" x14ac:dyDescent="0.3">
      <c r="B6" s="4" t="str">
        <f>'Drop-downs'!C5</f>
        <v>ILO 2.5</v>
      </c>
      <c r="C6" s="10" cm="1">
        <f t="array" ref="C6">IFERROR(SUM(_xlfn._xlws.FILTER('Worklog_Tasks&amp;Times'!$H$5:$H$21,'Worklog_Tasks&amp;Times'!$F$5:$F$21=$B6)),0)</f>
        <v>0</v>
      </c>
      <c r="D6" s="10" cm="1">
        <f t="array" ref="D6">IFERROR(SUM(_xlfn._xlws.FILTER('Worklog_Tasks&amp;Times'!$H$5:$H$21,'Worklog_Tasks&amp;Times'!$F$5:$F$21=$B6)),0)</f>
        <v>0</v>
      </c>
      <c r="E6" s="10" cm="1">
        <f t="array" ref="E6">IFERROR(SUM(_xlfn._xlws.FILTER('Worklog_Tasks&amp;Times'!$H$5:$H$21,'Worklog_Tasks&amp;Times'!$F$5:$F$21=$B6)),0)</f>
        <v>0</v>
      </c>
      <c r="F6" s="10" cm="1">
        <f t="array" ref="F6">IFERROR(SUM(_xlfn._xlws.FILTER('Worklog_Tasks&amp;Times'!$H$5:$H$21,'Worklog_Tasks&amp;Times'!$F$5:$F$21=$B6)),0)</f>
        <v>0</v>
      </c>
      <c r="G6" s="10" cm="1">
        <f t="array" ref="G6">IFERROR(SUM(_xlfn._xlws.FILTER('Worklog_Tasks&amp;Times'!$H$5:$H$21,'Worklog_Tasks&amp;Times'!$F$5:$F$21=$B6)),0)</f>
        <v>0</v>
      </c>
      <c r="H6" s="10" cm="1">
        <f t="array" ref="H6">IFERROR(SUM(_xlfn._xlws.FILTER('Worklog_Tasks&amp;Times'!$H$5:$H$21,'Worklog_Tasks&amp;Times'!$F$5:$F$21=$B6)),0)</f>
        <v>0</v>
      </c>
      <c r="I6" s="10" cm="1">
        <f t="array" ref="I6">IFERROR(SUM(_xlfn._xlws.FILTER('Worklog_Tasks&amp;Times'!$H$5:$H$21,'Worklog_Tasks&amp;Times'!$F$5:$F$21=$B6)),0)</f>
        <v>0</v>
      </c>
      <c r="J6" s="10" cm="1">
        <f t="array" ref="J6">IFERROR(SUM(_xlfn._xlws.FILTER('Worklog_Tasks&amp;Times'!$H$5:$H$21,'Worklog_Tasks&amp;Times'!$F$5:$F$21=$B6)),0)</f>
        <v>0</v>
      </c>
      <c r="K6" s="7">
        <f t="shared" si="0"/>
        <v>0</v>
      </c>
    </row>
    <row r="7" spans="2:11" ht="13.8" x14ac:dyDescent="0.3">
      <c r="B7" s="4" t="str">
        <f>'Drop-downs'!C6</f>
        <v>ILO 3.5</v>
      </c>
      <c r="C7" s="10" cm="1">
        <f t="array" ref="C7">IFERROR(SUM(_xlfn._xlws.FILTER('Worklog_Tasks&amp;Times'!$H$5:$H$21,'Worklog_Tasks&amp;Times'!$F$5:$F$21=$B7)),0)</f>
        <v>0</v>
      </c>
      <c r="D7" s="10" cm="1">
        <f t="array" ref="D7">IFERROR(SUM(_xlfn._xlws.FILTER('Worklog_Tasks&amp;Times'!$H$5:$H$21,'Worklog_Tasks&amp;Times'!$F$5:$F$21=$B7)),0)</f>
        <v>0</v>
      </c>
      <c r="E7" s="10" cm="1">
        <f t="array" ref="E7">IFERROR(SUM(_xlfn._xlws.FILTER('Worklog_Tasks&amp;Times'!$H$5:$H$21,'Worklog_Tasks&amp;Times'!$F$5:$F$21=$B7)),0)</f>
        <v>0</v>
      </c>
      <c r="F7" s="10" cm="1">
        <f t="array" ref="F7">IFERROR(SUM(_xlfn._xlws.FILTER('Worklog_Tasks&amp;Times'!$H$5:$H$21,'Worklog_Tasks&amp;Times'!$F$5:$F$21=$B7)),0)</f>
        <v>0</v>
      </c>
      <c r="G7" s="10" cm="1">
        <f t="array" ref="G7">IFERROR(SUM(_xlfn._xlws.FILTER('Worklog_Tasks&amp;Times'!$H$5:$H$21,'Worklog_Tasks&amp;Times'!$F$5:$F$21=$B7)),0)</f>
        <v>0</v>
      </c>
      <c r="H7" s="10" cm="1">
        <f t="array" ref="H7">IFERROR(SUM(_xlfn._xlws.FILTER('Worklog_Tasks&amp;Times'!$H$5:$H$21,'Worklog_Tasks&amp;Times'!$F$5:$F$21=$B7)),0)</f>
        <v>0</v>
      </c>
      <c r="I7" s="10" cm="1">
        <f t="array" ref="I7">IFERROR(SUM(_xlfn._xlws.FILTER('Worklog_Tasks&amp;Times'!$H$5:$H$21,'Worklog_Tasks&amp;Times'!$F$5:$F$21=$B7)),0)</f>
        <v>0</v>
      </c>
      <c r="J7" s="10" cm="1">
        <f t="array" ref="J7">IFERROR(SUM(_xlfn._xlws.FILTER('Worklog_Tasks&amp;Times'!$H$5:$H$21,'Worklog_Tasks&amp;Times'!$F$5:$F$21=$B7)),0)</f>
        <v>0</v>
      </c>
      <c r="K7" s="7">
        <f t="shared" si="0"/>
        <v>0</v>
      </c>
    </row>
    <row r="8" spans="2:11" ht="13.8" x14ac:dyDescent="0.3">
      <c r="B8" s="4" t="str">
        <f>'Drop-downs'!C7</f>
        <v>ILO 4.4</v>
      </c>
      <c r="C8" s="10" cm="1">
        <f t="array" ref="C8">IFERROR(SUM(_xlfn._xlws.FILTER('Worklog_Tasks&amp;Times'!$H$5:$H$21,'Worklog_Tasks&amp;Times'!$F$5:$F$21=$B8)),0)</f>
        <v>0</v>
      </c>
      <c r="D8" s="10" cm="1">
        <f t="array" ref="D8">IFERROR(SUM(_xlfn._xlws.FILTER('Worklog_Tasks&amp;Times'!$H$5:$H$21,'Worklog_Tasks&amp;Times'!$F$5:$F$21=$B8)),0)</f>
        <v>0</v>
      </c>
      <c r="E8" s="10" cm="1">
        <f t="array" ref="E8">IFERROR(SUM(_xlfn._xlws.FILTER('Worklog_Tasks&amp;Times'!$H$5:$H$21,'Worklog_Tasks&amp;Times'!$F$5:$F$21=$B8)),0)</f>
        <v>0</v>
      </c>
      <c r="F8" s="10" cm="1">
        <f t="array" ref="F8">IFERROR(SUM(_xlfn._xlws.FILTER('Worklog_Tasks&amp;Times'!$H$5:$H$21,'Worklog_Tasks&amp;Times'!$F$5:$F$21=$B8)),0)</f>
        <v>0</v>
      </c>
      <c r="G8" s="10" cm="1">
        <f t="array" ref="G8">IFERROR(SUM(_xlfn._xlws.FILTER('Worklog_Tasks&amp;Times'!$H$5:$H$21,'Worklog_Tasks&amp;Times'!$F$5:$F$21=$B8)),0)</f>
        <v>0</v>
      </c>
      <c r="H8" s="10" cm="1">
        <f t="array" ref="H8">IFERROR(SUM(_xlfn._xlws.FILTER('Worklog_Tasks&amp;Times'!$H$5:$H$21,'Worklog_Tasks&amp;Times'!$F$5:$F$21=$B8)),0)</f>
        <v>0</v>
      </c>
      <c r="I8" s="10" cm="1">
        <f t="array" ref="I8">IFERROR(SUM(_xlfn._xlws.FILTER('Worklog_Tasks&amp;Times'!$H$5:$H$21,'Worklog_Tasks&amp;Times'!$F$5:$F$21=$B8)),0)</f>
        <v>0</v>
      </c>
      <c r="J8" s="10" cm="1">
        <f t="array" ref="J8">IFERROR(SUM(_xlfn._xlws.FILTER('Worklog_Tasks&amp;Times'!$H$5:$H$21,'Worklog_Tasks&amp;Times'!$F$5:$F$21=$B8)),0)</f>
        <v>0</v>
      </c>
      <c r="K8" s="7">
        <f t="shared" ref="K8" si="1">SUM(C8:J8)</f>
        <v>0</v>
      </c>
    </row>
    <row r="9" spans="2:11" ht="13.8" x14ac:dyDescent="0.3">
      <c r="B9" s="4" t="str">
        <f>'Drop-downs'!C8</f>
        <v>ILO 7.3</v>
      </c>
      <c r="C9" s="10" cm="1">
        <f t="array" ref="C9">IFERROR(SUM(_xlfn._xlws.FILTER('Worklog_Tasks&amp;Times'!$H$5:$H$21,'Worklog_Tasks&amp;Times'!$F$5:$F$21=$B9)),0)</f>
        <v>0</v>
      </c>
      <c r="D9" s="10" cm="1">
        <f t="array" ref="D9">IFERROR(SUM(_xlfn._xlws.FILTER('Worklog_Tasks&amp;Times'!$H$5:$H$21,'Worklog_Tasks&amp;Times'!$F$5:$F$21=$B9)),0)</f>
        <v>0</v>
      </c>
      <c r="E9" s="10" cm="1">
        <f t="array" ref="E9">IFERROR(SUM(_xlfn._xlws.FILTER('Worklog_Tasks&amp;Times'!$H$5:$H$21,'Worklog_Tasks&amp;Times'!$F$5:$F$21=$B9)),0)</f>
        <v>0</v>
      </c>
      <c r="F9" s="10" cm="1">
        <f t="array" ref="F9">IFERROR(SUM(_xlfn._xlws.FILTER('Worklog_Tasks&amp;Times'!$H$5:$H$21,'Worklog_Tasks&amp;Times'!$F$5:$F$21=$B9)),0)</f>
        <v>0</v>
      </c>
      <c r="G9" s="10" cm="1">
        <f t="array" ref="G9">IFERROR(SUM(_xlfn._xlws.FILTER('Worklog_Tasks&amp;Times'!$H$5:$H$21,'Worklog_Tasks&amp;Times'!$F$5:$F$21=$B9)),0)</f>
        <v>0</v>
      </c>
      <c r="H9" s="10" cm="1">
        <f t="array" ref="H9">IFERROR(SUM(_xlfn._xlws.FILTER('Worklog_Tasks&amp;Times'!$H$5:$H$21,'Worklog_Tasks&amp;Times'!$F$5:$F$21=$B9)),0)</f>
        <v>0</v>
      </c>
      <c r="I9" s="10" cm="1">
        <f t="array" ref="I9">IFERROR(SUM(_xlfn._xlws.FILTER('Worklog_Tasks&amp;Times'!$H$5:$H$21,'Worklog_Tasks&amp;Times'!$F$5:$F$21=$B9)),0)</f>
        <v>0</v>
      </c>
      <c r="J9" s="10" cm="1">
        <f t="array" ref="J9">IFERROR(SUM(_xlfn._xlws.FILTER('Worklog_Tasks&amp;Times'!$H$5:$H$21,'Worklog_Tasks&amp;Times'!$F$5:$F$21=$B9)),0)</f>
        <v>0</v>
      </c>
      <c r="K9" s="7">
        <f t="shared" si="0"/>
        <v>0</v>
      </c>
    </row>
    <row r="10" spans="2:11" ht="13.8" x14ac:dyDescent="0.3">
      <c r="B10" s="4" t="str">
        <f>'Drop-downs'!C9</f>
        <v>ILO 11.2</v>
      </c>
      <c r="C10" s="10" cm="1">
        <f t="array" ref="C10">IFERROR(SUM(_xlfn._xlws.FILTER('Worklog_Tasks&amp;Times'!$H$5:$H$21,'Worklog_Tasks&amp;Times'!$F$5:$F$21=$B10)),0)</f>
        <v>0</v>
      </c>
      <c r="D10" s="10" cm="1">
        <f t="array" ref="D10">IFERROR(SUM(_xlfn._xlws.FILTER('Worklog_Tasks&amp;Times'!$H$5:$H$21,'Worklog_Tasks&amp;Times'!$F$5:$F$21=$B10)),0)</f>
        <v>0</v>
      </c>
      <c r="E10" s="10" cm="1">
        <f t="array" ref="E10">IFERROR(SUM(_xlfn._xlws.FILTER('Worklog_Tasks&amp;Times'!$H$5:$H$21,'Worklog_Tasks&amp;Times'!$F$5:$F$21=$B10)),0)</f>
        <v>0</v>
      </c>
      <c r="F10" s="10" cm="1">
        <f t="array" ref="F10">IFERROR(SUM(_xlfn._xlws.FILTER('Worklog_Tasks&amp;Times'!$H$5:$H$21,'Worklog_Tasks&amp;Times'!$F$5:$F$21=$B10)),0)</f>
        <v>0</v>
      </c>
      <c r="G10" s="10" cm="1">
        <f t="array" ref="G10">IFERROR(SUM(_xlfn._xlws.FILTER('Worklog_Tasks&amp;Times'!$H$5:$H$21,'Worklog_Tasks&amp;Times'!$F$5:$F$21=$B10)),0)</f>
        <v>0</v>
      </c>
      <c r="H10" s="10" cm="1">
        <f t="array" ref="H10">IFERROR(SUM(_xlfn._xlws.FILTER('Worklog_Tasks&amp;Times'!$H$5:$H$21,'Worklog_Tasks&amp;Times'!$F$5:$F$21=$B10)),0)</f>
        <v>0</v>
      </c>
      <c r="I10" s="10" cm="1">
        <f t="array" ref="I10">IFERROR(SUM(_xlfn._xlws.FILTER('Worklog_Tasks&amp;Times'!$H$5:$H$21,'Worklog_Tasks&amp;Times'!$F$5:$F$21=$B10)),0)</f>
        <v>0</v>
      </c>
      <c r="J10" s="10" cm="1">
        <f t="array" ref="J10">IFERROR(SUM(_xlfn._xlws.FILTER('Worklog_Tasks&amp;Times'!$H$5:$H$21,'Worklog_Tasks&amp;Times'!$F$5:$F$21=$B10)),0)</f>
        <v>0</v>
      </c>
      <c r="K10" s="7">
        <f t="shared" ref="K10" si="2">SUM(C10:J10)</f>
        <v>0</v>
      </c>
    </row>
    <row r="11" spans="2:11" ht="13.8" x14ac:dyDescent="0.3">
      <c r="B11" s="4">
        <f>'Drop-downs'!C10</f>
        <v>0</v>
      </c>
      <c r="C11" s="10"/>
      <c r="D11" s="10"/>
      <c r="E11" s="10"/>
      <c r="F11" s="10"/>
      <c r="G11" s="10"/>
      <c r="H11" s="10"/>
      <c r="I11" s="10"/>
      <c r="J11" s="10"/>
      <c r="K11" s="7">
        <f t="shared" ref="K11" si="3">SUM(C11:J11)</f>
        <v>0</v>
      </c>
    </row>
    <row r="12" spans="2:11" ht="13.8" x14ac:dyDescent="0.3">
      <c r="B12" s="11" t="s">
        <v>35</v>
      </c>
      <c r="C12" s="12">
        <f t="shared" ref="C12:J12" si="4">SUM(C3:C9)</f>
        <v>0</v>
      </c>
      <c r="D12" s="12">
        <f t="shared" si="4"/>
        <v>0</v>
      </c>
      <c r="E12" s="12">
        <f t="shared" si="4"/>
        <v>0</v>
      </c>
      <c r="F12" s="12">
        <f t="shared" si="4"/>
        <v>0</v>
      </c>
      <c r="G12" s="12">
        <f t="shared" si="4"/>
        <v>0</v>
      </c>
      <c r="H12" s="12">
        <f t="shared" si="4"/>
        <v>0</v>
      </c>
      <c r="I12" s="12">
        <f t="shared" si="4"/>
        <v>0</v>
      </c>
      <c r="J12" s="12">
        <f t="shared" si="4"/>
        <v>0</v>
      </c>
      <c r="K12" s="14"/>
    </row>
    <row r="13" spans="2:11" ht="13.8" x14ac:dyDescent="0.3">
      <c r="B13" s="16"/>
      <c r="C13" s="17"/>
      <c r="D13" s="17"/>
      <c r="E13" s="17"/>
      <c r="F13" s="17"/>
      <c r="G13" s="17"/>
      <c r="H13" s="17"/>
      <c r="I13" s="17"/>
      <c r="J13" s="17"/>
      <c r="K13" s="17"/>
    </row>
    <row r="14" spans="2:11" ht="15" customHeight="1" x14ac:dyDescent="0.25">
      <c r="B14" s="73" t="s">
        <v>36</v>
      </c>
      <c r="C14" s="74"/>
      <c r="D14" s="74"/>
      <c r="E14" s="74"/>
      <c r="F14" s="74"/>
      <c r="G14" s="74"/>
      <c r="H14" s="74"/>
      <c r="I14" s="74"/>
      <c r="J14" s="74"/>
      <c r="K14" s="74"/>
    </row>
    <row r="18" spans="2:6" ht="15" customHeight="1" x14ac:dyDescent="0.25">
      <c r="B18" s="9"/>
    </row>
    <row r="19" spans="2:6" ht="15" customHeight="1" x14ac:dyDescent="0.25">
      <c r="B19" s="75" t="s">
        <v>37</v>
      </c>
      <c r="C19" s="75"/>
      <c r="D19" s="75"/>
      <c r="E19" s="75"/>
      <c r="F19" s="75"/>
    </row>
    <row r="20" spans="2:6" ht="15" customHeight="1" x14ac:dyDescent="0.25">
      <c r="B20" s="75"/>
      <c r="C20" s="75"/>
      <c r="D20" s="75"/>
      <c r="E20" s="75"/>
      <c r="F20" s="75"/>
    </row>
    <row r="21" spans="2:6" ht="15" customHeight="1" x14ac:dyDescent="0.25">
      <c r="B21" s="75"/>
      <c r="C21" s="75"/>
      <c r="D21" s="75"/>
      <c r="E21" s="75"/>
      <c r="F21" s="75"/>
    </row>
    <row r="22" spans="2:6" ht="15" customHeight="1" x14ac:dyDescent="0.25">
      <c r="B22" s="75"/>
      <c r="C22" s="75"/>
      <c r="D22" s="75"/>
      <c r="E22" s="75"/>
      <c r="F22" s="75"/>
    </row>
    <row r="23" spans="2:6" ht="15" customHeight="1" x14ac:dyDescent="0.25">
      <c r="B23" s="75"/>
      <c r="C23" s="75"/>
      <c r="D23" s="75"/>
      <c r="E23" s="75"/>
      <c r="F23" s="75"/>
    </row>
  </sheetData>
  <mergeCells count="2">
    <mergeCell ref="B14:K14"/>
    <mergeCell ref="B19:F23"/>
  </mergeCells>
  <conditionalFormatting sqref="C12:J12">
    <cfRule type="colorScale" priority="1">
      <colorScale>
        <cfvo type="formula" val="20"/>
        <cfvo type="formula" val="40"/>
        <color rgb="FFE67C73"/>
        <color rgb="FF57BB8A"/>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1000"/>
  <sheetViews>
    <sheetView workbookViewId="0">
      <selection activeCell="C4" sqref="C4"/>
    </sheetView>
  </sheetViews>
  <sheetFormatPr defaultColWidth="14.44140625" defaultRowHeight="15" customHeight="1" x14ac:dyDescent="0.25"/>
  <cols>
    <col min="1" max="6" width="14.44140625" customWidth="1"/>
  </cols>
  <sheetData>
    <row r="1" spans="1:3" ht="15.75" customHeight="1" x14ac:dyDescent="0.25">
      <c r="A1" s="1" t="s">
        <v>38</v>
      </c>
      <c r="B1" s="1" t="s">
        <v>4</v>
      </c>
      <c r="C1" s="1" t="s">
        <v>39</v>
      </c>
    </row>
    <row r="2" spans="1:3" ht="15.75" customHeight="1" x14ac:dyDescent="0.25">
      <c r="A2" t="s">
        <v>40</v>
      </c>
      <c r="B2" t="s">
        <v>40</v>
      </c>
      <c r="C2" s="9" t="s">
        <v>40</v>
      </c>
    </row>
    <row r="3" spans="1:3" ht="15.75" customHeight="1" x14ac:dyDescent="0.25">
      <c r="A3" t="s">
        <v>41</v>
      </c>
      <c r="B3" t="s">
        <v>42</v>
      </c>
      <c r="C3" s="9" t="s">
        <v>43</v>
      </c>
    </row>
    <row r="4" spans="1:3" ht="15.75" customHeight="1" x14ac:dyDescent="0.25">
      <c r="A4" t="s">
        <v>44</v>
      </c>
      <c r="B4" t="s">
        <v>45</v>
      </c>
      <c r="C4" s="9" t="s">
        <v>46</v>
      </c>
    </row>
    <row r="5" spans="1:3" ht="15.75" customHeight="1" x14ac:dyDescent="0.25">
      <c r="A5" t="s">
        <v>47</v>
      </c>
      <c r="B5" t="s">
        <v>48</v>
      </c>
      <c r="C5" s="9" t="s">
        <v>49</v>
      </c>
    </row>
    <row r="6" spans="1:3" ht="15.75" customHeight="1" x14ac:dyDescent="0.25">
      <c r="A6" t="s">
        <v>50</v>
      </c>
      <c r="B6" t="s">
        <v>51</v>
      </c>
      <c r="C6" s="9" t="s">
        <v>52</v>
      </c>
    </row>
    <row r="7" spans="1:3" ht="15.75" customHeight="1" x14ac:dyDescent="0.25">
      <c r="A7" t="s">
        <v>53</v>
      </c>
      <c r="B7" t="s">
        <v>54</v>
      </c>
      <c r="C7" s="9" t="s">
        <v>55</v>
      </c>
    </row>
    <row r="8" spans="1:3" ht="15.75" customHeight="1" x14ac:dyDescent="0.25">
      <c r="A8" t="s">
        <v>56</v>
      </c>
      <c r="B8" t="s">
        <v>57</v>
      </c>
      <c r="C8" s="9" t="s">
        <v>58</v>
      </c>
    </row>
    <row r="9" spans="1:3" ht="15.75" customHeight="1" x14ac:dyDescent="0.25">
      <c r="A9" t="s">
        <v>59</v>
      </c>
      <c r="B9" s="9" t="s">
        <v>60</v>
      </c>
      <c r="C9" s="9" t="s">
        <v>61</v>
      </c>
    </row>
    <row r="10" spans="1:3" ht="15.75" customHeight="1" x14ac:dyDescent="0.25">
      <c r="B10" s="9" t="s">
        <v>62</v>
      </c>
      <c r="C10" s="9"/>
    </row>
    <row r="11" spans="1:3" ht="15.75" customHeight="1" x14ac:dyDescent="0.25">
      <c r="B11" s="9" t="s">
        <v>63</v>
      </c>
    </row>
    <row r="12" spans="1:3" ht="15.75" customHeight="1" x14ac:dyDescent="0.25">
      <c r="B12" s="9" t="s">
        <v>64</v>
      </c>
    </row>
    <row r="13" spans="1:3" ht="15.75" customHeight="1" x14ac:dyDescent="0.25">
      <c r="B13" s="9" t="s">
        <v>65</v>
      </c>
    </row>
    <row r="14" spans="1:3" ht="15.75" customHeight="1" x14ac:dyDescent="0.25">
      <c r="B14" s="9" t="s">
        <v>44</v>
      </c>
    </row>
    <row r="15" spans="1:3" ht="15.75" customHeight="1" x14ac:dyDescent="0.25">
      <c r="B15" s="9" t="s">
        <v>66</v>
      </c>
    </row>
    <row r="16" spans="1:3" ht="15.75" customHeight="1" x14ac:dyDescent="0.25">
      <c r="B16" s="9" t="s">
        <v>67</v>
      </c>
    </row>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6c8d291c-a5bf-4049-930d-38db8e991d8e" xsi:nil="true"/>
    <lcf76f155ced4ddcb4097134ff3c332f xmlns="5ff92c65-ed86-4457-baee-ccd535c9ea21">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0BADAD4AA324BF48804EF76FD903323C" ma:contentTypeVersion="15" ma:contentTypeDescription="Create a new document." ma:contentTypeScope="" ma:versionID="4ea0feda506421460444ca95554a0aab">
  <xsd:schema xmlns:xsd="http://www.w3.org/2001/XMLSchema" xmlns:xs="http://www.w3.org/2001/XMLSchema" xmlns:p="http://schemas.microsoft.com/office/2006/metadata/properties" xmlns:ns2="5ff92c65-ed86-4457-baee-ccd535c9ea21" xmlns:ns3="6c8d291c-a5bf-4049-930d-38db8e991d8e" targetNamespace="http://schemas.microsoft.com/office/2006/metadata/properties" ma:root="true" ma:fieldsID="0fc8cf7d0f5ee312899395875a30595e" ns2:_="" ns3:_="">
    <xsd:import namespace="5ff92c65-ed86-4457-baee-ccd535c9ea21"/>
    <xsd:import namespace="6c8d291c-a5bf-4049-930d-38db8e991d8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f92c65-ed86-4457-baee-ccd535c9ea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365a90ea-d0e7-4aae-8ef9-9f5dd1eb65e3"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c8d291c-a5bf-4049-930d-38db8e991d8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d53588-c864-4711-ad43-fad96b40598a}" ma:internalName="TaxCatchAll" ma:showField="CatchAllData" ma:web="6c8d291c-a5bf-4049-930d-38db8e991d8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20CF63A-30C9-4A8C-8DF9-EA62B8EC1A62}">
  <ds:schemaRefs>
    <ds:schemaRef ds:uri="http://schemas.microsoft.com/office/2006/metadata/properties"/>
    <ds:schemaRef ds:uri="http://schemas.microsoft.com/office/infopath/2007/PartnerControls"/>
    <ds:schemaRef ds:uri="6c8d291c-a5bf-4049-930d-38db8e991d8e"/>
    <ds:schemaRef ds:uri="5ff92c65-ed86-4457-baee-ccd535c9ea21"/>
  </ds:schemaRefs>
</ds:datastoreItem>
</file>

<file path=customXml/itemProps2.xml><?xml version="1.0" encoding="utf-8"?>
<ds:datastoreItem xmlns:ds="http://schemas.openxmlformats.org/officeDocument/2006/customXml" ds:itemID="{DBBEA8C5-7A8E-4EDD-924F-588BDEE1426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f92c65-ed86-4457-baee-ccd535c9ea21"/>
    <ds:schemaRef ds:uri="6c8d291c-a5bf-4049-930d-38db8e991d8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7A64A65-7DA4-4AE1-9847-B817073E470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Worklog_Tasks&amp;Times</vt:lpstr>
      <vt:lpstr>Overview</vt:lpstr>
      <vt:lpstr>Drop-downs</vt:lpstr>
      <vt:lpstr>'Worklog_Tasks&amp;Times'!Print_Area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Bram Heijligers</dc:creator>
  <cp:keywords/>
  <dc:description/>
  <cp:lastModifiedBy>Czerniak, Maciej Czerniak (243552)</cp:lastModifiedBy>
  <cp:revision/>
  <dcterms:created xsi:type="dcterms:W3CDTF">2020-05-11T09:26:10Z</dcterms:created>
  <dcterms:modified xsi:type="dcterms:W3CDTF">2025-11-27T15:31:38Z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0x0101000BADAD4AA324BF48804EF76FD903323C</vt:lpwstr>
  </property>
  <property fmtid="{D5CDD505-2E9C-101B-9397-08002B2CF9AE}" pid="3" name="MediaServiceImageTags">
    <vt:lpwstr/>
  </property>
</Properties>
</file>